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visb\Downloads\"/>
    </mc:Choice>
  </mc:AlternateContent>
  <xr:revisionPtr revIDLastSave="0" documentId="13_ncr:1_{DA296BDB-5742-4ACE-81AE-DEAB838B82A7}" xr6:coauthVersionLast="47" xr6:coauthVersionMax="47" xr10:uidLastSave="{00000000-0000-0000-0000-000000000000}"/>
  <bookViews>
    <workbookView xWindow="-38520" yWindow="-9315" windowWidth="38640" windowHeight="15720" xr2:uid="{00000000-000D-0000-FFFF-FFFF00000000}"/>
  </bookViews>
  <sheets>
    <sheet name="Notes" sheetId="5" r:id="rId1"/>
    <sheet name="Generator" sheetId="1" r:id="rId2"/>
    <sheet name="Tags" sheetId="3" r:id="rId3"/>
    <sheet name="Dropdowns" sheetId="4" state="hidden" r:id="rId4"/>
  </sheets>
  <definedNames>
    <definedName name="_xlnm._FilterDatabase" localSheetId="1" hidden="1">Generator!$A$6:$AB$10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9" i="1" l="1"/>
  <c r="Z9" i="1"/>
  <c r="Y9" i="1"/>
  <c r="V9" i="1"/>
  <c r="X9" i="1" s="1"/>
  <c r="U9" i="1" s="1"/>
  <c r="T9" i="1"/>
  <c r="S9" i="1"/>
  <c r="R9" i="1"/>
  <c r="Q9" i="1"/>
  <c r="V7" i="1"/>
  <c r="X7" i="1" s="1"/>
  <c r="U7" i="1" s="1"/>
  <c r="Z8" i="1"/>
  <c r="Z7" i="1"/>
  <c r="V8" i="1"/>
  <c r="X8" i="1" s="1"/>
  <c r="U8" i="1" s="1"/>
  <c r="T8" i="1"/>
  <c r="S8" i="1"/>
  <c r="R8" i="1"/>
  <c r="Q8" i="1"/>
  <c r="AA8" i="1"/>
  <c r="Y8" i="1"/>
  <c r="T7" i="1"/>
  <c r="S7" i="1"/>
  <c r="R7" i="1"/>
  <c r="Q7" i="1"/>
  <c r="AA7" i="1"/>
  <c r="Y7" i="1"/>
  <c r="AB9" i="1" l="1"/>
  <c r="W9" i="1"/>
  <c r="W7" i="1"/>
  <c r="AB7" i="1"/>
  <c r="W8" i="1"/>
  <c r="AB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Visbal</author>
  </authors>
  <commentList>
    <comment ref="L10" authorId="0" shapeId="0" xr:uid="{D019EE1E-E05E-4F8A-B8C1-4EE1D6658F62}">
      <text>
        <r>
          <rPr>
            <b/>
            <sz val="9"/>
            <color indexed="81"/>
            <rFont val="Tahoma"/>
            <family val="2"/>
          </rPr>
          <t>Alex Visbal:</t>
        </r>
        <r>
          <rPr>
            <sz val="9"/>
            <color indexed="81"/>
            <rFont val="Tahoma"/>
            <family val="2"/>
          </rPr>
          <t xml:space="preserve">
calculated at run time</t>
        </r>
      </text>
    </comment>
  </commentList>
</comments>
</file>

<file path=xl/sharedStrings.xml><?xml version="1.0" encoding="utf-8"?>
<sst xmlns="http://schemas.openxmlformats.org/spreadsheetml/2006/main" count="357" uniqueCount="312">
  <si>
    <t>Optional</t>
  </si>
  <si>
    <t>BIC Code</t>
  </si>
  <si>
    <t>Logical Terminal Code</t>
  </si>
  <si>
    <t>Transaction Reference Number </t>
  </si>
  <si>
    <t>Related Reference</t>
  </si>
  <si>
    <t>Account Identification</t>
  </si>
  <si>
    <t>Statement/Sequence Number</t>
  </si>
  <si>
    <t>Opening Balance</t>
  </si>
  <si>
    <t>Credit/Debit</t>
  </si>
  <si>
    <t>Balance</t>
  </si>
  <si>
    <t>Currency</t>
  </si>
  <si>
    <t>Value Date</t>
  </si>
  <si>
    <t>Entry Date</t>
  </si>
  <si>
    <t>DebitCreditMark</t>
  </si>
  <si>
    <t>Funds Code</t>
  </si>
  <si>
    <t>Amount</t>
  </si>
  <si>
    <t>Transaction Type</t>
  </si>
  <si>
    <t>Reference of the Account Servicing Institution</t>
  </si>
  <si>
    <t>Additional Information (part of tag 61)</t>
  </si>
  <si>
    <t>Information to Account Owner</t>
  </si>
  <si>
    <t>Closing Balance</t>
  </si>
  <si>
    <t>CreditDebit (C/D)</t>
  </si>
  <si>
    <t>Tag Name (Do not modify)</t>
  </si>
  <si>
    <t>28C</t>
  </si>
  <si>
    <t>60F</t>
  </si>
  <si>
    <t>61A</t>
  </si>
  <si>
    <t>62F</t>
  </si>
  <si>
    <t>Content</t>
  </si>
  <si>
    <t>N</t>
  </si>
  <si>
    <t>EUR</t>
  </si>
  <si>
    <t>Tag</t>
  </si>
  <si>
    <t>Name</t>
  </si>
  <si>
    <t>Mandatory</t>
  </si>
  <si>
    <t>Example</t>
  </si>
  <si>
    <t>Format</t>
  </si>
  <si>
    <t>Description</t>
  </si>
  <si>
    <t>Basic Header Block</t>
  </si>
  <si>
    <t>Y</t>
  </si>
  <si>
    <t>{1:F01YOURCODEZABC1234567890}</t>
  </si>
  <si>
    <t>F – Indicates the Application Id – in this case, FIN
01 – Indicates the Service Id
01 = FIN
21 = Acknowledgement (ACK) or Negative Acknowledgement (NAK)
YOURCODEZABC – The Logical Terminal Address – which is typically your BIC 8 (YOURCODE) + Logical Terminal Code (Z) + Branch Code
I know YOURCODE is an invalid BIC – but lets go with it…
1234 – Session Number – Ask SWIFT or your Service Bureau how they want you to populate this – this is not very interesting for corporates
567890 – Sequence Number – As above, ask your SWIFT people how they want this populated</t>
  </si>
  <si>
    <t>Application Header Block</t>
  </si>
  <si>
    <t>Transaction Reference Number</t>
  </si>
  <si>
    <t>16x</t>
  </si>
  <si>
    <t>35x</t>
  </si>
  <si>
    <t>Statement Number/Sequence Number</t>
  </si>
  <si>
    <t>5n[/5n]</t>
  </si>
  <si>
    <t>1!a6!n3!a15d</t>
  </si>
  <si>
    <t>(D/C Mark)(Date)(Currency)(Amount)</t>
  </si>
  <si>
    <t>Statement Line</t>
  </si>
  <si>
    <t>6!n[4!n]2a[1!a]15d1!a3!c16x[//16x]
[34x]</t>
  </si>
  <si>
    <t>6!n (Value Date)
[4!n] (Entry Date)
2a (Debit/Credit Mark)
[1!a] (Funds Code)
15d (Amount)
1!a3!c (Transaction Type)(Identification Code)
16x (Reference for the Account Owner)
[//16x] (Reference of the Account Servicing Institution)
[34x] (Supplementary Details)</t>
  </si>
  <si>
    <t>6*65x</t>
  </si>
  <si>
    <t>Closing Balance (Booked Funds)</t>
  </si>
  <si>
    <t xml:space="preserve"> </t>
  </si>
  <si>
    <t>Input Date</t>
  </si>
  <si>
    <t>Statement date</t>
  </si>
  <si>
    <t>Account number</t>
  </si>
  <si>
    <t>Opening balance</t>
  </si>
  <si>
    <t>USD</t>
  </si>
  <si>
    <t>Bank</t>
  </si>
  <si>
    <t>SWEEP</t>
  </si>
  <si>
    <t>TRANSACTION TYPE</t>
  </si>
  <si>
    <t>CURRENCIES</t>
  </si>
  <si>
    <t>BANKS</t>
  </si>
  <si>
    <t>ACU</t>
  </si>
  <si>
    <t>CITI</t>
  </si>
  <si>
    <t>INTEREST</t>
  </si>
  <si>
    <t>ADF</t>
  </si>
  <si>
    <t>JPMC</t>
  </si>
  <si>
    <t>CHARGES</t>
  </si>
  <si>
    <t>ADP</t>
  </si>
  <si>
    <t>HSBC</t>
  </si>
  <si>
    <t>TRANSACTION</t>
  </si>
  <si>
    <t>AED</t>
  </si>
  <si>
    <t>AFA</t>
  </si>
  <si>
    <t>AFN</t>
  </si>
  <si>
    <t>ALL</t>
  </si>
  <si>
    <t>AMD</t>
  </si>
  <si>
    <t>AMU</t>
  </si>
  <si>
    <t>ANG</t>
  </si>
  <si>
    <t>AOA</t>
  </si>
  <si>
    <t>AON</t>
  </si>
  <si>
    <t>ARO</t>
  </si>
  <si>
    <t>ARS</t>
  </si>
  <si>
    <t>ATS</t>
  </si>
  <si>
    <t>AUD</t>
  </si>
  <si>
    <t>AWG</t>
  </si>
  <si>
    <t>AZM</t>
  </si>
  <si>
    <t>AZN</t>
  </si>
  <si>
    <t>BAM</t>
  </si>
  <si>
    <t>BBD</t>
  </si>
  <si>
    <t>BCH</t>
  </si>
  <si>
    <t>BDT</t>
  </si>
  <si>
    <t>BEF</t>
  </si>
  <si>
    <t>BGL</t>
  </si>
  <si>
    <t>BGN</t>
  </si>
  <si>
    <t>BHD</t>
  </si>
  <si>
    <t>BIF</t>
  </si>
  <si>
    <t>BMD</t>
  </si>
  <si>
    <t>BND</t>
  </si>
  <si>
    <t>BOB</t>
  </si>
  <si>
    <t>BOV</t>
  </si>
  <si>
    <t>BRL</t>
  </si>
  <si>
    <t>BRO</t>
  </si>
  <si>
    <t>BSD</t>
  </si>
  <si>
    <t>BTC</t>
  </si>
  <si>
    <t>BTN</t>
  </si>
  <si>
    <t>BWP</t>
  </si>
  <si>
    <t>BYB</t>
  </si>
  <si>
    <t>BYN</t>
  </si>
  <si>
    <t>BYR</t>
  </si>
  <si>
    <t>BZD</t>
  </si>
  <si>
    <t>CAD</t>
  </si>
  <si>
    <t>CDF</t>
  </si>
  <si>
    <t>CHE</t>
  </si>
  <si>
    <t>CHF</t>
  </si>
  <si>
    <t>CHW</t>
  </si>
  <si>
    <t>CLF</t>
  </si>
  <si>
    <t>CLP</t>
  </si>
  <si>
    <t>CNH</t>
  </si>
  <si>
    <t>CNO</t>
  </si>
  <si>
    <t>CNY</t>
  </si>
  <si>
    <t>COP</t>
  </si>
  <si>
    <t>COU</t>
  </si>
  <si>
    <t>CRC</t>
  </si>
  <si>
    <t>CSD</t>
  </si>
  <si>
    <t>CUC</t>
  </si>
  <si>
    <t>CUP</t>
  </si>
  <si>
    <t>CVE</t>
  </si>
  <si>
    <t>CYP</t>
  </si>
  <si>
    <t>CZK</t>
  </si>
  <si>
    <t>DEM</t>
  </si>
  <si>
    <t>DJF</t>
  </si>
  <si>
    <t>DKK</t>
  </si>
  <si>
    <t>DOP</t>
  </si>
  <si>
    <t>DSH</t>
  </si>
  <si>
    <t>DZD</t>
  </si>
  <si>
    <t>EBU</t>
  </si>
  <si>
    <t>ECS</t>
  </si>
  <si>
    <t>EEK</t>
  </si>
  <si>
    <t>EGO</t>
  </si>
  <si>
    <t>EGP</t>
  </si>
  <si>
    <t>ERN</t>
  </si>
  <si>
    <t>ESP</t>
  </si>
  <si>
    <t>ETB</t>
  </si>
  <si>
    <t>ETC</t>
  </si>
  <si>
    <t>ETH</t>
  </si>
  <si>
    <t>FIM</t>
  </si>
  <si>
    <t>FJD</t>
  </si>
  <si>
    <t>FKP</t>
  </si>
  <si>
    <t>FRF</t>
  </si>
  <si>
    <t>GBP</t>
  </si>
  <si>
    <t>GCO</t>
  </si>
  <si>
    <t>GEL</t>
  </si>
  <si>
    <t>GHC</t>
  </si>
  <si>
    <t>GHS</t>
  </si>
  <si>
    <t>GIP</t>
  </si>
  <si>
    <t>GMD</t>
  </si>
  <si>
    <t>GNF</t>
  </si>
  <si>
    <t>GRD</t>
  </si>
  <si>
    <t>GTQ</t>
  </si>
  <si>
    <t>GWP</t>
  </si>
  <si>
    <t>GYD</t>
  </si>
  <si>
    <t>HKD</t>
  </si>
  <si>
    <t>HNL</t>
  </si>
  <si>
    <t>HRK</t>
  </si>
  <si>
    <t>HTG</t>
  </si>
  <si>
    <t>HUF</t>
  </si>
  <si>
    <t>IDO</t>
  </si>
  <si>
    <t>IDR</t>
  </si>
  <si>
    <t>IEP</t>
  </si>
  <si>
    <t>ILS</t>
  </si>
  <si>
    <t>INO</t>
  </si>
  <si>
    <t>INR</t>
  </si>
  <si>
    <t>IQD</t>
  </si>
  <si>
    <t>IRR</t>
  </si>
  <si>
    <t>ISK</t>
  </si>
  <si>
    <t>ITL</t>
  </si>
  <si>
    <t>JMD</t>
  </si>
  <si>
    <t>JOD</t>
  </si>
  <si>
    <t>JPY</t>
  </si>
  <si>
    <t>KES</t>
  </si>
  <si>
    <t>KGS</t>
  </si>
  <si>
    <t>KHR</t>
  </si>
  <si>
    <t>KMF</t>
  </si>
  <si>
    <t>KPW</t>
  </si>
  <si>
    <t>KRO</t>
  </si>
  <si>
    <t>KRW</t>
  </si>
  <si>
    <t>KWD</t>
  </si>
  <si>
    <t>KYD</t>
  </si>
  <si>
    <t>KZT</t>
  </si>
  <si>
    <t>LAK</t>
  </si>
  <si>
    <t>LBP</t>
  </si>
  <si>
    <t>LKR</t>
  </si>
  <si>
    <t>LRD</t>
  </si>
  <si>
    <t>LSL</t>
  </si>
  <si>
    <t>LTC</t>
  </si>
  <si>
    <t>LTL</t>
  </si>
  <si>
    <t>LUF</t>
  </si>
  <si>
    <t>LVL</t>
  </si>
  <si>
    <t>LYD</t>
  </si>
  <si>
    <t>MAD</t>
  </si>
  <si>
    <t>MDL</t>
  </si>
  <si>
    <t>MGA</t>
  </si>
  <si>
    <t>MGF</t>
  </si>
  <si>
    <t>MKD</t>
  </si>
  <si>
    <t>MMK</t>
  </si>
  <si>
    <t>MNT</t>
  </si>
  <si>
    <t>MOP</t>
  </si>
  <si>
    <t>MRO</t>
  </si>
  <si>
    <t>MRU</t>
  </si>
  <si>
    <t>MTL</t>
  </si>
  <si>
    <t>MUR</t>
  </si>
  <si>
    <t>MVR</t>
  </si>
  <si>
    <t>MWK</t>
  </si>
  <si>
    <t>MXN</t>
  </si>
  <si>
    <t>MXV</t>
  </si>
  <si>
    <t>MYO</t>
  </si>
  <si>
    <t>MYR</t>
  </si>
  <si>
    <t>MZM</t>
  </si>
  <si>
    <t>MZN</t>
  </si>
  <si>
    <t>NAD</t>
  </si>
  <si>
    <t>NGN</t>
  </si>
  <si>
    <t>NIO</t>
  </si>
  <si>
    <t>NLG</t>
  </si>
  <si>
    <t>NOK</t>
  </si>
  <si>
    <t>NPR</t>
  </si>
  <si>
    <t>NZD</t>
  </si>
  <si>
    <t>OMR</t>
  </si>
  <si>
    <t>PAB</t>
  </si>
  <si>
    <t>PEN</t>
  </si>
  <si>
    <t>PGK</t>
  </si>
  <si>
    <t>PHO</t>
  </si>
  <si>
    <t>PHP</t>
  </si>
  <si>
    <t>PKO</t>
  </si>
  <si>
    <t>PKR</t>
  </si>
  <si>
    <t>PLN</t>
  </si>
  <si>
    <t>PTE</t>
  </si>
  <si>
    <t>PYG</t>
  </si>
  <si>
    <t>QAR</t>
  </si>
  <si>
    <t>ROL</t>
  </si>
  <si>
    <t>RON</t>
  </si>
  <si>
    <t>RSD</t>
  </si>
  <si>
    <t>RUB</t>
  </si>
  <si>
    <t>RUR</t>
  </si>
  <si>
    <t>RWF</t>
  </si>
  <si>
    <t>SAR</t>
  </si>
  <si>
    <t>SBD</t>
  </si>
  <si>
    <t>SBU</t>
  </si>
  <si>
    <t>SCR</t>
  </si>
  <si>
    <t>SDD</t>
  </si>
  <si>
    <t>SDG</t>
  </si>
  <si>
    <t>SEK</t>
  </si>
  <si>
    <t>SGD</t>
  </si>
  <si>
    <t>SGO</t>
  </si>
  <si>
    <t>SHP</t>
  </si>
  <si>
    <t>SIT</t>
  </si>
  <si>
    <t>SKK</t>
  </si>
  <si>
    <t>SLE</t>
  </si>
  <si>
    <t>SLL</t>
  </si>
  <si>
    <t>SOS</t>
  </si>
  <si>
    <t>SRD</t>
  </si>
  <si>
    <t>SRG</t>
  </si>
  <si>
    <t>SSP</t>
  </si>
  <si>
    <t>STD</t>
  </si>
  <si>
    <t>STN</t>
  </si>
  <si>
    <t>SVC</t>
  </si>
  <si>
    <t>SYP</t>
  </si>
  <si>
    <t>SZL</t>
  </si>
  <si>
    <t>1234567890123456</t>
  </si>
  <si>
    <t>K</t>
  </si>
  <si>
    <t>NMSC</t>
  </si>
  <si>
    <t xml:space="preserve">3313724563 </t>
  </si>
  <si>
    <t xml:space="preserve">/PT/DE/EI/815 987654321  </t>
  </si>
  <si>
    <t>/CTC/056/XB ZERO BALANCE TRN</t>
  </si>
  <si>
    <t>Function-Filled</t>
  </si>
  <si>
    <t>BIC</t>
  </si>
  <si>
    <t>BIC Branch Code</t>
  </si>
  <si>
    <t>BICBC</t>
  </si>
  <si>
    <t>OB</t>
  </si>
  <si>
    <t>TXN</t>
  </si>
  <si>
    <t>Step 1:</t>
  </si>
  <si>
    <t>Step 2:</t>
  </si>
  <si>
    <t>Step 3:</t>
  </si>
  <si>
    <t>Step 4:</t>
  </si>
  <si>
    <t>Assumptions:</t>
  </si>
  <si>
    <t>TYPE</t>
  </si>
  <si>
    <t>CrdtDbt</t>
  </si>
  <si>
    <t>I – Informs you that you’re in Input mode (i.e. the Sender), O would indicate Output mode – so you would be the recipient of the message
940 – Message type – in this case, an MT940
YOURBANKXJKL – The recipients BIC, consisting of their BIC (YOURBANK) + Recipients Logical Terminal Code (X) + Recipients Branch Code (JKL)
U – Message Priority:
U – Urgent
N – Normal
S – System
3 – Delivery Monitoring – Ask your SWIFT contacts or Service Bureau how you should populate this, if at all - Optional
003 – Non-delivery notification period – again, ask your SWIFT contacts how to populate this, if at all – Optional</t>
  </si>
  <si>
    <t>{2:I940YOURBANKXJKLU3003}</t>
  </si>
  <si>
    <t>REF</t>
  </si>
  <si>
    <t>Statement Line (Partial)</t>
  </si>
  <si>
    <t>Totals:</t>
  </si>
  <si>
    <t xml:space="preserve">Open file path used above and find new file saved with file name "MT940-Export". </t>
  </si>
  <si>
    <t xml:space="preserve">Paste in your desired file path. To set new default path, open vba --&gt; open DoExport module --&gt; go to row 16 and paste desired default value. </t>
  </si>
  <si>
    <t xml:space="preserve">Example: C:\Users\avisb\Downloads\ </t>
  </si>
  <si>
    <t xml:space="preserve">Note: </t>
  </si>
  <si>
    <t>Opening Balance Date</t>
  </si>
  <si>
    <t>Data Type</t>
  </si>
  <si>
    <t>CCY</t>
  </si>
  <si>
    <t>CCY2</t>
  </si>
  <si>
    <t>When clicking export, if you have any row highlighted other than the first statement transaction, it will start generating entries from that highlighted row and not take into consideration anything above it.  I do not suggest using this as the closing balance will still take into consideration all transaction amounts, not just from starting point.</t>
  </si>
  <si>
    <t xml:space="preserve">Totals row is generated within the macro. If the balance does not look correct on the totals row, ignore it - this is calculated and replaced within the macro itself. </t>
  </si>
  <si>
    <t>Highlight entire row 7 &amp; Click "Export".</t>
  </si>
  <si>
    <t>Do not leave empty "CONTENT" rows or this will cause breaks in the VBA logic.</t>
  </si>
  <si>
    <t xml:space="preserve">Input Debits as (-) Negatives and Credits as (+) Positives </t>
  </si>
  <si>
    <t xml:space="preserve">Column K has a total row. All green cells have been filled out, yellow are optional. No cells should be deleted (unless deleting entire row). New rows should be added above the "total" row. Only delete rows with Data Type "Content". </t>
  </si>
  <si>
    <t>T</t>
  </si>
  <si>
    <t>ClosingBalanceDate</t>
  </si>
  <si>
    <t>ClosingBalanceDate (YYYY-MM-DD)</t>
  </si>
  <si>
    <t>Start top to bottom. Fill out all mandatory cells (green). Fill out any optional cells (yellow).</t>
  </si>
  <si>
    <t>YYYY-MM-DD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</si>
</sst>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7" formatCode="yyyy\-mm\-dd;@"/>
  </numFmts>
  <fonts count="15" x14ac:knownFonts="1">
    <font>
      <sz val="11"/>
      <color theme="1"/>
      <name val="Calibri"/>
      <family val="2"/>
      <scheme val="minor"/>
    </font>
    <font>
      <sz val="10"/>
      <color rgb="FF000000"/>
      <name val="Arial"/>
      <family val="2"/>
    </font>
    <font>
      <sz val="9"/>
      <color rgb="FF111111"/>
      <name val="Arial"/>
      <family val="2"/>
    </font>
    <font>
      <sz val="11"/>
      <color rgb="FF000000"/>
      <name val="Calibri"/>
      <family val="2"/>
      <scheme val="minor"/>
    </font>
    <font>
      <sz val="11"/>
      <color theme="0"/>
      <name val="Calibri"/>
      <family val="2"/>
      <scheme val="minor"/>
    </font>
    <font>
      <b/>
      <i/>
      <sz val="11"/>
      <color theme="0"/>
      <name val="Calibri"/>
      <family val="2"/>
      <scheme val="minor"/>
    </font>
    <font>
      <sz val="8"/>
      <name val="Calibri"/>
      <family val="2"/>
      <scheme val="minor"/>
    </font>
    <font>
      <u/>
      <sz val="11"/>
      <color theme="1"/>
      <name val="Calibri"/>
      <family val="2"/>
      <scheme val="minor"/>
    </font>
    <font>
      <sz val="11"/>
      <color theme="1"/>
      <name val="Calibri"/>
      <family val="2"/>
      <scheme val="minor"/>
    </font>
    <font>
      <sz val="14"/>
      <color theme="1"/>
      <name val="Calibri"/>
      <family val="2"/>
      <scheme val="minor"/>
    </font>
    <font>
      <b/>
      <sz val="11"/>
      <color theme="0"/>
      <name val="Calibri"/>
      <family val="2"/>
      <scheme val="minor"/>
    </font>
    <font>
      <b/>
      <i/>
      <sz val="14"/>
      <color rgb="FF000000"/>
      <name val="Calibri"/>
      <family val="2"/>
    </font>
    <font>
      <sz val="9"/>
      <color indexed="81"/>
      <name val="Tahoma"/>
      <family val="2"/>
    </font>
    <font>
      <b/>
      <sz val="9"/>
      <color indexed="81"/>
      <name val="Tahoma"/>
      <family val="2"/>
    </font>
    <font>
      <b/>
      <sz val="12.5"/>
      <color theme="1"/>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4" borderId="0" applyNumberFormat="0" applyBorder="0" applyAlignment="0" applyProtection="0"/>
    <xf numFmtId="44" fontId="8" fillId="0" borderId="0" applyFont="0" applyFill="0" applyBorder="0" applyAlignment="0" applyProtection="0"/>
  </cellStyleXfs>
  <cellXfs count="49">
    <xf numFmtId="0" fontId="0" fillId="0" borderId="0" xfId="0"/>
    <xf numFmtId="0" fontId="0" fillId="0" borderId="0" xfId="0" applyAlignment="1">
      <alignment wrapText="1"/>
    </xf>
    <xf numFmtId="0" fontId="0" fillId="3" borderId="0" xfId="0" applyFill="1"/>
    <xf numFmtId="0" fontId="0" fillId="2" borderId="1" xfId="0" applyFill="1" applyBorder="1"/>
    <xf numFmtId="0" fontId="2" fillId="0" borderId="0" xfId="0" applyFont="1"/>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5" fillId="4" borderId="0" xfId="1" applyFont="1"/>
    <xf numFmtId="0" fontId="3" fillId="0" borderId="0" xfId="0" applyFont="1"/>
    <xf numFmtId="0" fontId="0" fillId="3" borderId="1" xfId="0" applyFill="1" applyBorder="1" applyAlignment="1">
      <alignment horizontal="left"/>
    </xf>
    <xf numFmtId="49" fontId="0" fillId="0" borderId="1" xfId="0" applyNumberFormat="1" applyBorder="1" applyAlignment="1">
      <alignment wrapText="1"/>
    </xf>
    <xf numFmtId="0" fontId="0" fillId="3" borderId="1" xfId="0" applyFill="1" applyBorder="1"/>
    <xf numFmtId="0" fontId="0" fillId="5" borderId="1" xfId="0" applyFill="1" applyBorder="1" applyAlignment="1">
      <alignment horizontal="center"/>
    </xf>
    <xf numFmtId="0" fontId="2" fillId="5" borderId="1" xfId="0" applyFont="1" applyFill="1" applyBorder="1" applyAlignment="1">
      <alignment horizontal="center"/>
    </xf>
    <xf numFmtId="0" fontId="1" fillId="5" borderId="1" xfId="0" applyFont="1" applyFill="1" applyBorder="1" applyAlignment="1">
      <alignment horizontal="center"/>
    </xf>
    <xf numFmtId="0" fontId="0" fillId="5" borderId="1" xfId="0" applyFill="1" applyBorder="1" applyAlignment="1">
      <alignment horizontal="center" wrapText="1"/>
    </xf>
    <xf numFmtId="0" fontId="7" fillId="0" borderId="0" xfId="0" applyFont="1"/>
    <xf numFmtId="0" fontId="0" fillId="6" borderId="1" xfId="0" applyFill="1" applyBorder="1"/>
    <xf numFmtId="164" fontId="0" fillId="3" borderId="1" xfId="0" applyNumberFormat="1" applyFill="1" applyBorder="1" applyAlignment="1">
      <alignment horizontal="left"/>
    </xf>
    <xf numFmtId="164" fontId="0" fillId="3" borderId="0" xfId="0" applyNumberFormat="1" applyFill="1"/>
    <xf numFmtId="0" fontId="0" fillId="0" borderId="0" xfId="0" applyAlignment="1">
      <alignment horizontal="center"/>
    </xf>
    <xf numFmtId="0" fontId="9" fillId="7" borderId="1" xfId="0" applyFont="1" applyFill="1" applyBorder="1" applyAlignment="1">
      <alignment horizontal="center"/>
    </xf>
    <xf numFmtId="44" fontId="0" fillId="6" borderId="1" xfId="2" applyFont="1" applyFill="1" applyBorder="1"/>
    <xf numFmtId="49" fontId="0" fillId="6" borderId="1" xfId="2" applyNumberFormat="1" applyFont="1" applyFill="1" applyBorder="1"/>
    <xf numFmtId="0" fontId="10" fillId="9" borderId="0" xfId="0" applyFont="1" applyFill="1"/>
    <xf numFmtId="164" fontId="10" fillId="9" borderId="0" xfId="2" applyNumberFormat="1" applyFont="1" applyFill="1"/>
    <xf numFmtId="164" fontId="10" fillId="9" borderId="0" xfId="0" applyNumberFormat="1" applyFont="1" applyFill="1"/>
    <xf numFmtId="0" fontId="9" fillId="7" borderId="2" xfId="0" applyFont="1" applyFill="1" applyBorder="1" applyAlignment="1">
      <alignment horizontal="center" vertical="center"/>
    </xf>
    <xf numFmtId="0" fontId="9" fillId="7" borderId="3" xfId="0" applyFont="1" applyFill="1" applyBorder="1" applyAlignment="1">
      <alignment horizontal="center" vertical="center"/>
    </xf>
    <xf numFmtId="0" fontId="9" fillId="7" borderId="1" xfId="0" applyFont="1" applyFill="1" applyBorder="1" applyAlignment="1">
      <alignment horizontal="center" vertical="center"/>
    </xf>
    <xf numFmtId="167" fontId="0" fillId="3" borderId="0" xfId="0" applyNumberFormat="1" applyFill="1"/>
    <xf numFmtId="167" fontId="0" fillId="3" borderId="1" xfId="0" applyNumberFormat="1" applyFill="1" applyBorder="1"/>
    <xf numFmtId="167" fontId="0" fillId="3" borderId="0" xfId="0" applyNumberFormat="1" applyFill="1" applyAlignment="1">
      <alignment horizontal="left"/>
    </xf>
    <xf numFmtId="164" fontId="0" fillId="0" borderId="0" xfId="0" applyNumberFormat="1"/>
    <xf numFmtId="0" fontId="0" fillId="6" borderId="1" xfId="0" applyFill="1" applyBorder="1" applyAlignment="1">
      <alignment horizontal="left"/>
    </xf>
    <xf numFmtId="167" fontId="0" fillId="6" borderId="1" xfId="0" applyNumberFormat="1" applyFill="1" applyBorder="1" applyAlignment="1">
      <alignment horizontal="left"/>
    </xf>
    <xf numFmtId="0" fontId="14" fillId="8" borderId="1" xfId="0" applyFont="1" applyFill="1" applyBorder="1" applyAlignment="1">
      <alignment horizontal="left" wrapText="1"/>
    </xf>
    <xf numFmtId="0" fontId="14" fillId="0" borderId="0" xfId="0" applyFont="1"/>
    <xf numFmtId="0" fontId="14" fillId="2" borderId="1" xfId="0" applyFont="1" applyFill="1" applyBorder="1" applyAlignment="1">
      <alignment horizontal="left" wrapText="1"/>
    </xf>
    <xf numFmtId="0" fontId="14" fillId="8" borderId="4" xfId="0" applyFont="1" applyFill="1" applyBorder="1" applyAlignment="1">
      <alignment horizontal="left" vertical="center" wrapText="1"/>
    </xf>
    <xf numFmtId="0" fontId="14" fillId="8" borderId="5" xfId="0" applyFont="1" applyFill="1" applyBorder="1" applyAlignment="1">
      <alignment horizontal="left" vertical="center" wrapText="1"/>
    </xf>
    <xf numFmtId="0" fontId="14" fillId="8" borderId="6" xfId="0" applyFont="1" applyFill="1" applyBorder="1" applyAlignment="1">
      <alignment horizontal="left" vertical="center" wrapText="1"/>
    </xf>
    <xf numFmtId="0" fontId="14" fillId="8" borderId="7" xfId="0" applyFont="1" applyFill="1" applyBorder="1" applyAlignment="1">
      <alignment horizontal="left" vertical="center" wrapText="1"/>
    </xf>
    <xf numFmtId="0" fontId="14" fillId="8" borderId="8" xfId="0" applyFont="1" applyFill="1" applyBorder="1" applyAlignment="1">
      <alignment horizontal="left" vertical="center" wrapText="1"/>
    </xf>
    <xf numFmtId="0" fontId="14" fillId="8" borderId="9" xfId="0" applyFont="1" applyFill="1" applyBorder="1" applyAlignment="1">
      <alignment horizontal="left" vertical="center" wrapText="1"/>
    </xf>
    <xf numFmtId="0" fontId="14" fillId="8" borderId="10" xfId="0" applyFont="1" applyFill="1" applyBorder="1" applyAlignment="1">
      <alignment horizontal="left" vertical="top" wrapText="1"/>
    </xf>
    <xf numFmtId="0" fontId="14" fillId="8" borderId="11" xfId="0" applyFont="1" applyFill="1" applyBorder="1" applyAlignment="1">
      <alignment horizontal="left" vertical="top" wrapText="1"/>
    </xf>
    <xf numFmtId="0" fontId="14" fillId="8" borderId="12" xfId="0" applyFont="1" applyFill="1" applyBorder="1" applyAlignment="1">
      <alignment horizontal="left" vertical="top" wrapText="1"/>
    </xf>
  </cellXfs>
  <cellStyles count="3">
    <cellStyle name="Accent1" xfId="1" builtinId="29"/>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165100</xdr:colOff>
          <xdr:row>0</xdr:row>
          <xdr:rowOff>69850</xdr:rowOff>
        </xdr:from>
        <xdr:to>
          <xdr:col>5</xdr:col>
          <xdr:colOff>628650</xdr:colOff>
          <xdr:row>3</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692150</xdr:colOff>
          <xdr:row>0</xdr:row>
          <xdr:rowOff>44450</xdr:rowOff>
        </xdr:from>
        <xdr:to>
          <xdr:col>6</xdr:col>
          <xdr:colOff>1714500</xdr:colOff>
          <xdr:row>3</xdr:row>
          <xdr:rowOff>133350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00"/>
                  </a:solidFill>
                  <a:latin typeface="Calibri"/>
                  <a:ea typeface="Calibri"/>
                  <a:cs typeface="Calibri"/>
                </a:rPr>
                <a:t>Add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D494D-E65B-4C4A-B1EF-CFA754013679}">
  <sheetPr codeName="Sheet4"/>
  <dimension ref="A1:S22"/>
  <sheetViews>
    <sheetView tabSelected="1" zoomScale="125" zoomScaleNormal="125" workbookViewId="0">
      <selection activeCell="A25" sqref="A25"/>
    </sheetView>
  </sheetViews>
  <sheetFormatPr defaultRowHeight="14.5" x14ac:dyDescent="0.35"/>
  <cols>
    <col min="1" max="1" width="16.453125" style="21" bestFit="1" customWidth="1"/>
    <col min="15" max="15" width="25.81640625" customWidth="1"/>
    <col min="19" max="19" width="25.36328125" customWidth="1"/>
  </cols>
  <sheetData>
    <row r="1" spans="1:19" ht="18.75" customHeight="1" x14ac:dyDescent="0.35">
      <c r="A1" s="30" t="s">
        <v>285</v>
      </c>
      <c r="B1" s="37" t="s">
        <v>306</v>
      </c>
      <c r="C1" s="37"/>
      <c r="D1" s="37"/>
      <c r="E1" s="37"/>
      <c r="F1" s="37"/>
      <c r="G1" s="37"/>
      <c r="H1" s="37"/>
      <c r="I1" s="37"/>
      <c r="J1" s="37"/>
      <c r="K1" s="37"/>
      <c r="L1" s="37"/>
      <c r="M1" s="37"/>
      <c r="N1" s="37"/>
      <c r="O1" s="37"/>
      <c r="P1" s="37"/>
      <c r="Q1" s="37"/>
      <c r="R1" s="37"/>
      <c r="S1" s="37"/>
    </row>
    <row r="2" spans="1:19" ht="18.75" customHeight="1" x14ac:dyDescent="0.35">
      <c r="A2" s="30"/>
      <c r="B2" s="37"/>
      <c r="C2" s="37"/>
      <c r="D2" s="37"/>
      <c r="E2" s="37"/>
      <c r="F2" s="37"/>
      <c r="G2" s="37"/>
      <c r="H2" s="37"/>
      <c r="I2" s="37"/>
      <c r="J2" s="37"/>
      <c r="K2" s="37"/>
      <c r="L2" s="37"/>
      <c r="M2" s="37"/>
      <c r="N2" s="37"/>
      <c r="O2" s="37"/>
      <c r="P2" s="37"/>
      <c r="Q2" s="37"/>
      <c r="R2" s="37"/>
      <c r="S2" s="37"/>
    </row>
    <row r="3" spans="1:19" ht="16.5" x14ac:dyDescent="0.4">
      <c r="B3" s="38"/>
      <c r="C3" s="38"/>
      <c r="D3" s="38"/>
      <c r="E3" s="38"/>
      <c r="F3" s="38"/>
      <c r="G3" s="38"/>
      <c r="H3" s="38"/>
      <c r="I3" s="38"/>
      <c r="J3" s="38"/>
      <c r="K3" s="38"/>
      <c r="L3" s="38"/>
      <c r="M3" s="38"/>
      <c r="N3" s="38"/>
      <c r="O3" s="38"/>
      <c r="P3" s="38"/>
      <c r="Q3" s="38"/>
      <c r="R3" s="38"/>
      <c r="S3" s="38"/>
    </row>
    <row r="4" spans="1:19" ht="18.5" x14ac:dyDescent="0.45">
      <c r="A4" s="22" t="s">
        <v>281</v>
      </c>
      <c r="B4" s="37" t="s">
        <v>310</v>
      </c>
      <c r="C4" s="37"/>
      <c r="D4" s="37"/>
      <c r="E4" s="37"/>
      <c r="F4" s="37"/>
      <c r="G4" s="37"/>
      <c r="H4" s="37"/>
      <c r="I4" s="37"/>
      <c r="J4" s="37"/>
      <c r="K4" s="37"/>
      <c r="L4" s="37"/>
      <c r="M4" s="37"/>
      <c r="N4" s="37"/>
      <c r="O4" s="37"/>
      <c r="P4" s="37"/>
      <c r="Q4" s="37"/>
      <c r="R4" s="37"/>
      <c r="S4" s="37"/>
    </row>
    <row r="5" spans="1:19" ht="16.5" x14ac:dyDescent="0.4">
      <c r="B5" s="38"/>
      <c r="C5" s="38"/>
      <c r="D5" s="38"/>
      <c r="E5" s="38"/>
      <c r="F5" s="38"/>
      <c r="G5" s="38"/>
      <c r="H5" s="38"/>
      <c r="I5" s="38"/>
      <c r="J5" s="38"/>
      <c r="K5" s="38"/>
      <c r="L5" s="38"/>
      <c r="M5" s="38"/>
      <c r="N5" s="38"/>
      <c r="O5" s="38"/>
      <c r="P5" s="38"/>
      <c r="Q5" s="38"/>
      <c r="R5" s="38"/>
      <c r="S5" s="38"/>
    </row>
    <row r="6" spans="1:19" ht="18.5" x14ac:dyDescent="0.45">
      <c r="A6" s="22" t="s">
        <v>282</v>
      </c>
      <c r="B6" s="37" t="s">
        <v>303</v>
      </c>
      <c r="C6" s="37"/>
      <c r="D6" s="37"/>
      <c r="E6" s="37"/>
      <c r="F6" s="37"/>
      <c r="G6" s="37"/>
      <c r="H6" s="37"/>
      <c r="I6" s="37"/>
      <c r="J6" s="37"/>
      <c r="K6" s="37"/>
      <c r="L6" s="37"/>
      <c r="M6" s="37"/>
      <c r="N6" s="37"/>
      <c r="O6" s="37"/>
      <c r="P6" s="37"/>
      <c r="Q6" s="37"/>
      <c r="R6" s="37"/>
      <c r="S6" s="37"/>
    </row>
    <row r="7" spans="1:19" ht="16.5" x14ac:dyDescent="0.4">
      <c r="B7" s="38"/>
      <c r="C7" s="38"/>
      <c r="D7" s="38"/>
      <c r="E7" s="38"/>
      <c r="F7" s="38"/>
      <c r="G7" s="38"/>
      <c r="H7" s="38"/>
      <c r="I7" s="38"/>
      <c r="J7" s="38"/>
      <c r="K7" s="38"/>
      <c r="L7" s="38"/>
      <c r="M7" s="38"/>
      <c r="N7" s="38"/>
      <c r="O7" s="38"/>
      <c r="P7" s="38"/>
      <c r="Q7" s="38"/>
      <c r="R7" s="38"/>
      <c r="S7" s="38"/>
    </row>
    <row r="8" spans="1:19" ht="18.75" customHeight="1" x14ac:dyDescent="0.45">
      <c r="A8" s="22" t="s">
        <v>283</v>
      </c>
      <c r="B8" s="46" t="s">
        <v>294</v>
      </c>
      <c r="C8" s="47"/>
      <c r="D8" s="47"/>
      <c r="E8" s="47"/>
      <c r="F8" s="47"/>
      <c r="G8" s="47"/>
      <c r="H8" s="47"/>
      <c r="I8" s="47"/>
      <c r="J8" s="47"/>
      <c r="K8" s="47"/>
      <c r="L8" s="47"/>
      <c r="M8" s="47"/>
      <c r="N8" s="47"/>
      <c r="O8" s="48"/>
      <c r="P8" s="39" t="s">
        <v>295</v>
      </c>
      <c r="Q8" s="39"/>
      <c r="R8" s="39"/>
      <c r="S8" s="39"/>
    </row>
    <row r="9" spans="1:19" ht="16.5" x14ac:dyDescent="0.4">
      <c r="B9" s="38"/>
      <c r="C9" s="38"/>
      <c r="D9" s="38"/>
      <c r="E9" s="38"/>
      <c r="F9" s="38"/>
      <c r="G9" s="38"/>
      <c r="H9" s="38"/>
      <c r="I9" s="38"/>
      <c r="J9" s="38"/>
      <c r="K9" s="38"/>
      <c r="L9" s="38"/>
      <c r="M9" s="38"/>
      <c r="N9" s="38"/>
      <c r="O9" s="38"/>
      <c r="P9" s="38"/>
      <c r="Q9" s="38"/>
      <c r="R9" s="38"/>
      <c r="S9" s="38"/>
    </row>
    <row r="10" spans="1:19" ht="18.5" x14ac:dyDescent="0.45">
      <c r="A10" s="22" t="s">
        <v>284</v>
      </c>
      <c r="B10" s="37" t="s">
        <v>293</v>
      </c>
      <c r="C10" s="37"/>
      <c r="D10" s="37"/>
      <c r="E10" s="37"/>
      <c r="F10" s="37"/>
      <c r="G10" s="37"/>
      <c r="H10" s="37"/>
      <c r="I10" s="37"/>
      <c r="J10" s="37"/>
      <c r="K10" s="37"/>
      <c r="L10" s="37"/>
      <c r="M10" s="37"/>
      <c r="N10" s="37"/>
      <c r="O10" s="37"/>
      <c r="P10" s="37"/>
      <c r="Q10" s="37"/>
      <c r="R10" s="37"/>
      <c r="S10" s="37"/>
    </row>
    <row r="11" spans="1:19" ht="16.5" x14ac:dyDescent="0.4">
      <c r="B11" s="38"/>
      <c r="C11" s="38"/>
      <c r="D11" s="38"/>
      <c r="E11" s="38"/>
      <c r="F11" s="38"/>
      <c r="G11" s="38"/>
      <c r="H11" s="38"/>
      <c r="I11" s="38"/>
      <c r="J11" s="38"/>
      <c r="K11" s="38"/>
      <c r="L11" s="38"/>
      <c r="M11" s="38"/>
      <c r="N11" s="38"/>
      <c r="O11" s="38"/>
      <c r="P11" s="38"/>
      <c r="Q11" s="38"/>
      <c r="R11" s="38"/>
      <c r="S11" s="38"/>
    </row>
    <row r="12" spans="1:19" ht="18.75" customHeight="1" x14ac:dyDescent="0.35">
      <c r="A12" s="28" t="s">
        <v>296</v>
      </c>
      <c r="B12" s="40" t="s">
        <v>301</v>
      </c>
      <c r="C12" s="41"/>
      <c r="D12" s="41"/>
      <c r="E12" s="41"/>
      <c r="F12" s="41"/>
      <c r="G12" s="41"/>
      <c r="H12" s="41"/>
      <c r="I12" s="41"/>
      <c r="J12" s="41"/>
      <c r="K12" s="41"/>
      <c r="L12" s="41"/>
      <c r="M12" s="41"/>
      <c r="N12" s="41"/>
      <c r="O12" s="41"/>
      <c r="P12" s="41"/>
      <c r="Q12" s="41"/>
      <c r="R12" s="41"/>
      <c r="S12" s="42"/>
    </row>
    <row r="13" spans="1:19" ht="18.75" customHeight="1" x14ac:dyDescent="0.35">
      <c r="A13" s="29"/>
      <c r="B13" s="43"/>
      <c r="C13" s="44"/>
      <c r="D13" s="44"/>
      <c r="E13" s="44"/>
      <c r="F13" s="44"/>
      <c r="G13" s="44"/>
      <c r="H13" s="44"/>
      <c r="I13" s="44"/>
      <c r="J13" s="44"/>
      <c r="K13" s="44"/>
      <c r="L13" s="44"/>
      <c r="M13" s="44"/>
      <c r="N13" s="44"/>
      <c r="O13" s="44"/>
      <c r="P13" s="44"/>
      <c r="Q13" s="44"/>
      <c r="R13" s="44"/>
      <c r="S13" s="45"/>
    </row>
    <row r="14" spans="1:19" ht="16.5" x14ac:dyDescent="0.4">
      <c r="B14" s="38"/>
      <c r="C14" s="38"/>
      <c r="D14" s="38"/>
      <c r="E14" s="38"/>
      <c r="F14" s="38"/>
      <c r="G14" s="38"/>
      <c r="H14" s="38"/>
      <c r="I14" s="38"/>
      <c r="J14" s="38"/>
      <c r="K14" s="38"/>
      <c r="L14" s="38"/>
      <c r="M14" s="38"/>
      <c r="N14" s="38"/>
      <c r="O14" s="38"/>
      <c r="P14" s="38"/>
      <c r="Q14" s="38"/>
      <c r="R14" s="38"/>
      <c r="S14" s="38"/>
    </row>
    <row r="15" spans="1:19" x14ac:dyDescent="0.35">
      <c r="A15" s="28" t="s">
        <v>296</v>
      </c>
      <c r="B15" s="40" t="s">
        <v>302</v>
      </c>
      <c r="C15" s="41"/>
      <c r="D15" s="41"/>
      <c r="E15" s="41"/>
      <c r="F15" s="41"/>
      <c r="G15" s="41"/>
      <c r="H15" s="41"/>
      <c r="I15" s="41"/>
      <c r="J15" s="41"/>
      <c r="K15" s="41"/>
      <c r="L15" s="41"/>
      <c r="M15" s="41"/>
      <c r="N15" s="41"/>
      <c r="O15" s="41"/>
      <c r="P15" s="41"/>
      <c r="Q15" s="41"/>
      <c r="R15" s="41"/>
      <c r="S15" s="42"/>
    </row>
    <row r="16" spans="1:19" x14ac:dyDescent="0.35">
      <c r="A16" s="29"/>
      <c r="B16" s="43"/>
      <c r="C16" s="44"/>
      <c r="D16" s="44"/>
      <c r="E16" s="44"/>
      <c r="F16" s="44"/>
      <c r="G16" s="44"/>
      <c r="H16" s="44"/>
      <c r="I16" s="44"/>
      <c r="J16" s="44"/>
      <c r="K16" s="44"/>
      <c r="L16" s="44"/>
      <c r="M16" s="44"/>
      <c r="N16" s="44"/>
      <c r="O16" s="44"/>
      <c r="P16" s="44"/>
      <c r="Q16" s="44"/>
      <c r="R16" s="44"/>
      <c r="S16" s="45"/>
    </row>
    <row r="17" spans="1:19" ht="16.5" x14ac:dyDescent="0.4">
      <c r="B17" s="38"/>
      <c r="C17" s="38"/>
      <c r="D17" s="38"/>
      <c r="E17" s="38"/>
      <c r="F17" s="38"/>
      <c r="G17" s="38"/>
      <c r="H17" s="38"/>
      <c r="I17" s="38"/>
      <c r="J17" s="38"/>
      <c r="K17" s="38"/>
      <c r="L17" s="38"/>
      <c r="M17" s="38"/>
      <c r="N17" s="38"/>
      <c r="O17" s="38"/>
      <c r="P17" s="38"/>
      <c r="Q17" s="38"/>
      <c r="R17" s="38"/>
      <c r="S17" s="38"/>
    </row>
    <row r="18" spans="1:19" x14ac:dyDescent="0.35">
      <c r="A18" s="28" t="s">
        <v>296</v>
      </c>
      <c r="B18" s="40" t="s">
        <v>304</v>
      </c>
      <c r="C18" s="41"/>
      <c r="D18" s="41"/>
      <c r="E18" s="41"/>
      <c r="F18" s="41"/>
      <c r="G18" s="41"/>
      <c r="H18" s="41"/>
      <c r="I18" s="41"/>
      <c r="J18" s="41"/>
      <c r="K18" s="41"/>
      <c r="L18" s="41"/>
      <c r="M18" s="41"/>
      <c r="N18" s="41"/>
      <c r="O18" s="41"/>
      <c r="P18" s="41"/>
      <c r="Q18" s="41"/>
      <c r="R18" s="41"/>
      <c r="S18" s="42"/>
    </row>
    <row r="19" spans="1:19" x14ac:dyDescent="0.35">
      <c r="A19" s="29"/>
      <c r="B19" s="43"/>
      <c r="C19" s="44"/>
      <c r="D19" s="44"/>
      <c r="E19" s="44"/>
      <c r="F19" s="44"/>
      <c r="G19" s="44"/>
      <c r="H19" s="44"/>
      <c r="I19" s="44"/>
      <c r="J19" s="44"/>
      <c r="K19" s="44"/>
      <c r="L19" s="44"/>
      <c r="M19" s="44"/>
      <c r="N19" s="44"/>
      <c r="O19" s="44"/>
      <c r="P19" s="44"/>
      <c r="Q19" s="44"/>
      <c r="R19" s="44"/>
      <c r="S19" s="45"/>
    </row>
    <row r="20" spans="1:19" ht="16.5" x14ac:dyDescent="0.4">
      <c r="B20" s="38"/>
      <c r="C20" s="38"/>
      <c r="D20" s="38"/>
      <c r="E20" s="38"/>
      <c r="F20" s="38"/>
      <c r="G20" s="38"/>
      <c r="H20" s="38"/>
      <c r="I20" s="38"/>
      <c r="J20" s="38"/>
      <c r="K20" s="38"/>
      <c r="L20" s="38"/>
      <c r="M20" s="38"/>
      <c r="N20" s="38"/>
      <c r="O20" s="38"/>
      <c r="P20" s="38"/>
      <c r="Q20" s="38"/>
      <c r="R20" s="38"/>
      <c r="S20" s="38"/>
    </row>
    <row r="21" spans="1:19" x14ac:dyDescent="0.35">
      <c r="A21" s="28" t="s">
        <v>296</v>
      </c>
      <c r="B21" s="40" t="s">
        <v>305</v>
      </c>
      <c r="C21" s="41"/>
      <c r="D21" s="41"/>
      <c r="E21" s="41"/>
      <c r="F21" s="41"/>
      <c r="G21" s="41"/>
      <c r="H21" s="41"/>
      <c r="I21" s="41"/>
      <c r="J21" s="41"/>
      <c r="K21" s="41"/>
      <c r="L21" s="41"/>
      <c r="M21" s="41"/>
      <c r="N21" s="41"/>
      <c r="O21" s="41"/>
      <c r="P21" s="41"/>
      <c r="Q21" s="41"/>
      <c r="R21" s="41"/>
      <c r="S21" s="42"/>
    </row>
    <row r="22" spans="1:19" x14ac:dyDescent="0.35">
      <c r="A22" s="29"/>
      <c r="B22" s="43"/>
      <c r="C22" s="44"/>
      <c r="D22" s="44"/>
      <c r="E22" s="44"/>
      <c r="F22" s="44"/>
      <c r="G22" s="44"/>
      <c r="H22" s="44"/>
      <c r="I22" s="44"/>
      <c r="J22" s="44"/>
      <c r="K22" s="44"/>
      <c r="L22" s="44"/>
      <c r="M22" s="44"/>
      <c r="N22" s="44"/>
      <c r="O22" s="44"/>
      <c r="P22" s="44"/>
      <c r="Q22" s="44"/>
      <c r="R22" s="44"/>
      <c r="S22" s="45"/>
    </row>
  </sheetData>
  <mergeCells count="15">
    <mergeCell ref="A12:A13"/>
    <mergeCell ref="B12:S13"/>
    <mergeCell ref="B1:S2"/>
    <mergeCell ref="A1:A2"/>
    <mergeCell ref="B4:S4"/>
    <mergeCell ref="B6:S6"/>
    <mergeCell ref="B10:S10"/>
    <mergeCell ref="B8:O8"/>
    <mergeCell ref="P8:S8"/>
    <mergeCell ref="A18:A19"/>
    <mergeCell ref="B18:S19"/>
    <mergeCell ref="A21:A22"/>
    <mergeCell ref="B21:S22"/>
    <mergeCell ref="A15:A16"/>
    <mergeCell ref="B15:S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1"/>
  <sheetViews>
    <sheetView zoomScale="109" zoomScaleNormal="109" workbookViewId="0">
      <selection activeCell="Z6" sqref="Z6"/>
    </sheetView>
  </sheetViews>
  <sheetFormatPr defaultRowHeight="14.5" x14ac:dyDescent="0.35"/>
  <cols>
    <col min="1" max="1" width="23.1796875" bestFit="1" customWidth="1"/>
    <col min="2" max="2" width="14.7265625" bestFit="1" customWidth="1"/>
    <col min="3" max="3" width="18.81640625" bestFit="1" customWidth="1"/>
    <col min="4" max="4" width="19.1796875" bestFit="1" customWidth="1"/>
    <col min="5" max="5" width="14.6328125" bestFit="1" customWidth="1"/>
    <col min="6" max="6" width="27.453125" bestFit="1" customWidth="1"/>
    <col min="7" max="7" width="15.08984375" bestFit="1" customWidth="1"/>
    <col min="8" max="8" width="26" customWidth="1"/>
    <col min="9" max="9" width="13.08984375" bestFit="1" customWidth="1"/>
    <col min="10" max="10" width="12.08984375" bestFit="1" customWidth="1"/>
    <col min="11" max="11" width="10.453125" bestFit="1" customWidth="1"/>
    <col min="12" max="12" width="12.26953125" bestFit="1" customWidth="1"/>
    <col min="13" max="13" width="14.7265625" bestFit="1" customWidth="1"/>
    <col min="14" max="14" width="35.453125" bestFit="1" customWidth="1"/>
    <col min="15" max="15" width="29.1796875" style="1" bestFit="1" customWidth="1"/>
    <col min="16" max="16" width="26.7265625" bestFit="1" customWidth="1"/>
    <col min="17" max="17" width="9.6328125" bestFit="1" customWidth="1"/>
    <col min="18" max="18" width="19.453125" bestFit="1" customWidth="1"/>
    <col min="19" max="19" width="14.453125" bestFit="1" customWidth="1"/>
    <col min="20" max="20" width="8" bestFit="1" customWidth="1"/>
    <col min="21" max="21" width="20.7265625" bestFit="1" customWidth="1"/>
    <col min="22" max="22" width="10.36328125" bestFit="1" customWidth="1"/>
    <col min="23" max="23" width="19.453125" bestFit="1" customWidth="1"/>
    <col min="24" max="24" width="14" bestFit="1" customWidth="1"/>
    <col min="25" max="25" width="14.81640625" bestFit="1" customWidth="1"/>
    <col min="26" max="26" width="31.08984375" bestFit="1" customWidth="1"/>
    <col min="27" max="27" width="8" bestFit="1" customWidth="1"/>
    <col min="28" max="28" width="13.7265625" bestFit="1" customWidth="1"/>
    <col min="29" max="29" width="20.81640625" bestFit="1" customWidth="1"/>
    <col min="30" max="30" width="19.54296875" bestFit="1" customWidth="1"/>
    <col min="31" max="31" width="13.453125" bestFit="1" customWidth="1"/>
    <col min="33" max="33" width="22.453125" bestFit="1" customWidth="1"/>
    <col min="34" max="34" width="14.81640625" bestFit="1" customWidth="1"/>
  </cols>
  <sheetData>
    <row r="1" spans="1:28" x14ac:dyDescent="0.35">
      <c r="A1" s="8" t="s">
        <v>55</v>
      </c>
      <c r="B1" s="31">
        <v>45285</v>
      </c>
      <c r="C1" s="8" t="s">
        <v>10</v>
      </c>
      <c r="D1" s="2" t="s">
        <v>130</v>
      </c>
      <c r="H1" s="3"/>
      <c r="I1" t="s">
        <v>0</v>
      </c>
    </row>
    <row r="2" spans="1:28" x14ac:dyDescent="0.35">
      <c r="A2" s="8" t="s">
        <v>56</v>
      </c>
      <c r="B2" s="2">
        <v>123456789</v>
      </c>
      <c r="C2" s="8" t="s">
        <v>59</v>
      </c>
      <c r="D2" s="2" t="s">
        <v>65</v>
      </c>
      <c r="H2" s="12"/>
      <c r="I2" t="s">
        <v>32</v>
      </c>
    </row>
    <row r="3" spans="1:28" x14ac:dyDescent="0.35">
      <c r="A3" s="8" t="s">
        <v>57</v>
      </c>
      <c r="B3" s="20">
        <v>1000000</v>
      </c>
      <c r="C3" s="8" t="s">
        <v>308</v>
      </c>
      <c r="D3" s="33">
        <v>45285</v>
      </c>
      <c r="H3" s="18"/>
      <c r="I3" t="s">
        <v>275</v>
      </c>
      <c r="M3" s="1"/>
      <c r="O3"/>
    </row>
    <row r="4" spans="1:28" x14ac:dyDescent="0.35">
      <c r="A4" s="8" t="s">
        <v>297</v>
      </c>
      <c r="B4" s="31">
        <v>45285</v>
      </c>
    </row>
    <row r="5" spans="1:28" ht="15.75" customHeight="1" x14ac:dyDescent="0.35">
      <c r="A5" s="13" t="s">
        <v>298</v>
      </c>
      <c r="B5" s="15" t="s">
        <v>16</v>
      </c>
      <c r="C5" s="13" t="s">
        <v>1</v>
      </c>
      <c r="D5" s="13" t="s">
        <v>2</v>
      </c>
      <c r="E5" s="13" t="s">
        <v>277</v>
      </c>
      <c r="F5" s="13" t="s">
        <v>3</v>
      </c>
      <c r="G5" s="14" t="s">
        <v>4</v>
      </c>
      <c r="H5" s="13" t="s">
        <v>6</v>
      </c>
      <c r="I5" s="15" t="s">
        <v>11</v>
      </c>
      <c r="J5" s="15" t="s">
        <v>12</v>
      </c>
      <c r="K5" s="15" t="s">
        <v>14</v>
      </c>
      <c r="L5" s="15" t="s">
        <v>15</v>
      </c>
      <c r="M5" s="15" t="s">
        <v>16</v>
      </c>
      <c r="N5" s="14" t="s">
        <v>17</v>
      </c>
      <c r="O5" s="14" t="s">
        <v>18</v>
      </c>
      <c r="P5" s="13" t="s">
        <v>19</v>
      </c>
      <c r="Q5" s="13" t="s">
        <v>54</v>
      </c>
      <c r="R5" s="13" t="s">
        <v>5</v>
      </c>
      <c r="S5" s="15" t="s">
        <v>9</v>
      </c>
      <c r="T5" s="15" t="s">
        <v>10</v>
      </c>
      <c r="U5" s="16" t="s">
        <v>291</v>
      </c>
      <c r="V5" s="15" t="s">
        <v>8</v>
      </c>
      <c r="W5" s="15" t="s">
        <v>7</v>
      </c>
      <c r="X5" s="15" t="s">
        <v>13</v>
      </c>
      <c r="Y5" s="15" t="s">
        <v>21</v>
      </c>
      <c r="Z5" s="15" t="s">
        <v>309</v>
      </c>
      <c r="AA5" s="15" t="s">
        <v>10</v>
      </c>
      <c r="AB5" s="13" t="s">
        <v>20</v>
      </c>
    </row>
    <row r="6" spans="1:28" s="21" customFormat="1" x14ac:dyDescent="0.35">
      <c r="A6" s="13" t="s">
        <v>22</v>
      </c>
      <c r="B6" s="13" t="s">
        <v>307</v>
      </c>
      <c r="C6" s="13" t="s">
        <v>276</v>
      </c>
      <c r="D6" s="13" t="s">
        <v>196</v>
      </c>
      <c r="E6" s="13" t="s">
        <v>278</v>
      </c>
      <c r="F6" s="13">
        <v>20</v>
      </c>
      <c r="G6" s="13">
        <v>21</v>
      </c>
      <c r="H6" s="13" t="s">
        <v>23</v>
      </c>
      <c r="I6" s="13" t="s">
        <v>311</v>
      </c>
      <c r="J6" s="13" t="s">
        <v>311</v>
      </c>
      <c r="K6" s="13"/>
      <c r="L6" s="13" t="s">
        <v>280</v>
      </c>
      <c r="M6" s="13" t="s">
        <v>286</v>
      </c>
      <c r="N6" s="13" t="s">
        <v>290</v>
      </c>
      <c r="O6" s="13" t="s">
        <v>25</v>
      </c>
      <c r="P6" s="13">
        <v>86</v>
      </c>
      <c r="Q6" s="13">
        <v>1</v>
      </c>
      <c r="R6" s="13">
        <v>25</v>
      </c>
      <c r="S6" s="13" t="s">
        <v>279</v>
      </c>
      <c r="T6" s="13" t="s">
        <v>300</v>
      </c>
      <c r="U6" s="13">
        <v>61</v>
      </c>
      <c r="V6" s="13"/>
      <c r="W6" s="13" t="s">
        <v>24</v>
      </c>
      <c r="X6" s="13"/>
      <c r="Y6" s="13" t="s">
        <v>287</v>
      </c>
      <c r="Z6" s="13" t="s">
        <v>311</v>
      </c>
      <c r="AA6" s="13" t="s">
        <v>299</v>
      </c>
      <c r="AB6" s="13" t="s">
        <v>26</v>
      </c>
    </row>
    <row r="7" spans="1:28" x14ac:dyDescent="0.35">
      <c r="A7" s="11" t="s">
        <v>27</v>
      </c>
      <c r="B7" s="12" t="s">
        <v>72</v>
      </c>
      <c r="C7" s="3"/>
      <c r="D7" s="3"/>
      <c r="E7" s="3"/>
      <c r="F7" s="12" t="s">
        <v>269</v>
      </c>
      <c r="G7" s="3"/>
      <c r="H7" s="10">
        <v>12345</v>
      </c>
      <c r="I7" s="32">
        <v>45285</v>
      </c>
      <c r="J7" s="32">
        <v>45285</v>
      </c>
      <c r="K7" s="10" t="s">
        <v>270</v>
      </c>
      <c r="L7" s="19">
        <v>-50000</v>
      </c>
      <c r="M7" s="10" t="s">
        <v>271</v>
      </c>
      <c r="N7" s="10" t="s">
        <v>272</v>
      </c>
      <c r="O7" s="10" t="s">
        <v>274</v>
      </c>
      <c r="P7" s="10" t="s">
        <v>273</v>
      </c>
      <c r="Q7" s="18" t="str">
        <f>CONCATENATE(RIGHT(YEAR($B$1),2),IF(MONTH($B$1)&lt;10,"0",""),MONTH($B$1),IF(DAY($B$1)&lt;10,"0",""),DAY($B$1))</f>
        <v>231225</v>
      </c>
      <c r="R7" s="18">
        <f>$B$2</f>
        <v>123456789</v>
      </c>
      <c r="S7" s="23">
        <f>$B$3</f>
        <v>1000000</v>
      </c>
      <c r="T7" s="24" t="str">
        <f>$D$1</f>
        <v>CZK</v>
      </c>
      <c r="U7" s="18" t="str">
        <f>IF(I7="","",CONCATENATE(RIGHT(YEAR(I7),2), IF(MONTH(I7) &lt;10,"0",""),MONTH(I7),IF(DAY(I7)&lt;10,"0",""),DAY(I7),IF(MONTH(J7) &lt;10,"0",""), X7, K7))</f>
        <v>231225DK</v>
      </c>
      <c r="V7" s="18" t="str">
        <f>IF(L7&gt;0,"Credit","Debit")</f>
        <v>Debit</v>
      </c>
      <c r="W7" s="18" t="str">
        <f>IF(V7="","",CONCATENATE(IF(V7="Credit","C","D"),RIGHT(YEAR($B$4),2),IF(MONTH($B$4) &lt;10,"0",""),MONTH($B$4),IF(DAY($B$4)&lt;10,"0",""),DAY($B$4),T7,S7))</f>
        <v>D231225CZK1000000</v>
      </c>
      <c r="X7" s="18" t="str">
        <f>(IF(V7="Credit","C","D"))</f>
        <v>D</v>
      </c>
      <c r="Y7" s="35" t="str">
        <f>IF(L7&gt;0,"Credit","Debit")</f>
        <v>Debit</v>
      </c>
      <c r="Z7" s="36">
        <f>$D$3</f>
        <v>45285</v>
      </c>
      <c r="AA7" s="24" t="str">
        <f>$D$1</f>
        <v>CZK</v>
      </c>
      <c r="AB7" s="18" t="str">
        <f>IF(Y7="","",CONCATENATE(IF(Y7="Credit","C","D"),RIGHT(YEAR(Z7),2),IF(MONTH(Z7) &lt;10,"0",""),MONTH(Z7),IF(DAY(Z7)&lt;10,"0",""),DAY(Z7),AA7))</f>
        <v>D231225CZK</v>
      </c>
    </row>
    <row r="8" spans="1:28" x14ac:dyDescent="0.35">
      <c r="A8" s="11" t="s">
        <v>27</v>
      </c>
      <c r="B8" s="12" t="s">
        <v>72</v>
      </c>
      <c r="C8" s="3"/>
      <c r="D8" s="3"/>
      <c r="E8" s="3"/>
      <c r="F8" s="12" t="s">
        <v>269</v>
      </c>
      <c r="G8" s="3"/>
      <c r="H8" s="10">
        <v>12345</v>
      </c>
      <c r="I8" s="32">
        <v>45285</v>
      </c>
      <c r="J8" s="32">
        <v>45285</v>
      </c>
      <c r="K8" s="10" t="s">
        <v>270</v>
      </c>
      <c r="L8" s="19">
        <v>-200000</v>
      </c>
      <c r="M8" s="10" t="s">
        <v>271</v>
      </c>
      <c r="N8" s="10" t="s">
        <v>272</v>
      </c>
      <c r="O8" s="10" t="s">
        <v>274</v>
      </c>
      <c r="P8" s="10" t="s">
        <v>273</v>
      </c>
      <c r="Q8" s="18" t="str">
        <f>CONCATENATE(RIGHT(YEAR($B$1),2),IF(MONTH($B$1)&lt;10,"0",""),MONTH($B$1),IF(DAY($B$1)&lt;10,"0",""),DAY($B$1))</f>
        <v>231225</v>
      </c>
      <c r="R8" s="18">
        <f>$B$2</f>
        <v>123456789</v>
      </c>
      <c r="S8" s="23">
        <f>$B$3</f>
        <v>1000000</v>
      </c>
      <c r="T8" s="24" t="str">
        <f>$D$1</f>
        <v>CZK</v>
      </c>
      <c r="U8" s="18" t="str">
        <f>IF(I8="","",CONCATENATE(RIGHT(YEAR(I8),2), IF(MONTH(I8) &lt;10,"0",""),MONTH(I8),IF(DAY(I8)&lt;10,"0",""),DAY(I8),IF(MONTH(J8) &lt;10,"0",""), X8, K8))</f>
        <v>231225DK</v>
      </c>
      <c r="V8" s="18" t="str">
        <f>IF(L8&gt;0,"Credit","Debit")</f>
        <v>Debit</v>
      </c>
      <c r="W8" s="18" t="str">
        <f>IF(V8="","",CONCATENATE(IF(V8="Credit","C","D"),RIGHT(YEAR($B$4),2),IF(MONTH($B$4) &lt;10,"0",""),MONTH($B$4),IF(DAY($B$4)&lt;10,"0",""),DAY($B$4),T8,S8))</f>
        <v>D231225CZK1000000</v>
      </c>
      <c r="X8" s="18" t="str">
        <f>(IF(V8="Credit","C","D"))</f>
        <v>D</v>
      </c>
      <c r="Y8" s="35" t="str">
        <f>IF(L8&gt;0,"Credit","Debit")</f>
        <v>Debit</v>
      </c>
      <c r="Z8" s="36">
        <f t="shared" ref="Z8" si="0">$D$3</f>
        <v>45285</v>
      </c>
      <c r="AA8" s="24" t="str">
        <f>$D$1</f>
        <v>CZK</v>
      </c>
      <c r="AB8" s="18" t="str">
        <f>IF(Y8="","",CONCATENATE(IF(Y8="Credit","C","D"),RIGHT(YEAR(Z8),2),IF(MONTH(Z8) &lt;10,"0",""),MONTH(Z8),IF(DAY(Z8)&lt;10,"0",""),DAY(Z8),AA8))</f>
        <v>D231225CZK</v>
      </c>
    </row>
    <row r="9" spans="1:28" x14ac:dyDescent="0.35">
      <c r="A9" s="11" t="s">
        <v>27</v>
      </c>
      <c r="B9" s="12" t="s">
        <v>60</v>
      </c>
      <c r="C9" s="3"/>
      <c r="D9" s="3"/>
      <c r="E9" s="3"/>
      <c r="F9" s="12" t="s">
        <v>269</v>
      </c>
      <c r="G9" s="3"/>
      <c r="H9" s="10">
        <v>12345</v>
      </c>
      <c r="I9" s="32">
        <v>45285</v>
      </c>
      <c r="J9" s="32">
        <v>45285</v>
      </c>
      <c r="K9" s="10" t="s">
        <v>270</v>
      </c>
      <c r="L9" s="19">
        <v>200000</v>
      </c>
      <c r="M9" s="10" t="s">
        <v>271</v>
      </c>
      <c r="N9" s="10" t="s">
        <v>272</v>
      </c>
      <c r="O9" s="10" t="s">
        <v>274</v>
      </c>
      <c r="P9" s="10" t="s">
        <v>273</v>
      </c>
      <c r="Q9" s="18" t="str">
        <f>CONCATENATE(RIGHT(YEAR($B$1),2),IF(MONTH($B$1)&lt;10,"0",""),MONTH($B$1),IF(DAY($B$1)&lt;10,"0",""),DAY($B$1))</f>
        <v>231225</v>
      </c>
      <c r="R9" s="18">
        <f>$B$2</f>
        <v>123456789</v>
      </c>
      <c r="S9" s="23">
        <f>$B$3</f>
        <v>1000000</v>
      </c>
      <c r="T9" s="24" t="str">
        <f>$D$1</f>
        <v>CZK</v>
      </c>
      <c r="U9" s="18" t="str">
        <f>IF(I9="","",CONCATENATE(RIGHT(YEAR(I9),2), IF(MONTH(I9) &lt;10,"0",""),MONTH(I9),IF(DAY(I9)&lt;10,"0",""),DAY(I9),IF(MONTH(J9) &lt;10,"0",""), X9, K9))</f>
        <v>231225CK</v>
      </c>
      <c r="V9" s="18" t="str">
        <f>IF(L9&gt;0,"Credit","Debit")</f>
        <v>Credit</v>
      </c>
      <c r="W9" s="18" t="str">
        <f>IF(V9="","",CONCATENATE(IF(V9="Credit","C","D"),RIGHT(YEAR($B$4),2),IF(MONTH($B$4) &lt;10,"0",""),MONTH($B$4),IF(DAY($B$4)&lt;10,"0",""),DAY($B$4),T9,S9))</f>
        <v>C231225CZK1000000</v>
      </c>
      <c r="X9" s="18" t="str">
        <f>(IF(V9="Credit","C","D"))</f>
        <v>C</v>
      </c>
      <c r="Y9" s="35" t="str">
        <f>IF(L9&gt;0,"Credit","Debit")</f>
        <v>Credit</v>
      </c>
      <c r="Z9" s="36">
        <f>$D$3</f>
        <v>45285</v>
      </c>
      <c r="AA9" s="24" t="str">
        <f>$D$1</f>
        <v>CZK</v>
      </c>
      <c r="AB9" s="18" t="str">
        <f>IF(Y9="","",CONCATENATE(IF(Y9="Credit","C","D"),RIGHT(YEAR(Z9),2),IF(MONTH(Z9) &lt;10,"0",""),MONTH(Z9),IF(DAY(Z9)&lt;10,"0",""),DAY(Z9),AA9))</f>
        <v>C231225CZK</v>
      </c>
    </row>
    <row r="10" spans="1:28" x14ac:dyDescent="0.35">
      <c r="A10" s="25" t="s">
        <v>292</v>
      </c>
      <c r="B10" s="25" t="s">
        <v>292</v>
      </c>
      <c r="C10" s="25"/>
      <c r="D10" s="25"/>
      <c r="E10" s="25"/>
      <c r="F10" s="25"/>
      <c r="G10" s="25"/>
      <c r="H10" s="25"/>
      <c r="I10" s="25"/>
      <c r="J10" s="25"/>
      <c r="K10" s="26"/>
      <c r="L10" s="27">
        <v>-50000</v>
      </c>
      <c r="M10" s="25"/>
      <c r="N10" s="25"/>
      <c r="O10" s="25"/>
      <c r="P10" s="25"/>
      <c r="Q10" s="25"/>
      <c r="R10" s="25"/>
      <c r="S10" s="25"/>
      <c r="T10" s="25"/>
      <c r="U10" s="25"/>
      <c r="V10" s="25"/>
      <c r="W10" s="25"/>
      <c r="X10" s="25"/>
      <c r="Y10" s="25"/>
      <c r="Z10" s="25"/>
      <c r="AA10" s="25"/>
      <c r="AB10" s="25"/>
    </row>
    <row r="11" spans="1:28" x14ac:dyDescent="0.35">
      <c r="L11" s="34"/>
      <c r="Z11" s="17"/>
    </row>
  </sheetData>
  <sheetProtection insertRows="0"/>
  <phoneticPr fontId="6" type="noConversion"/>
  <dataValidations xWindow="221" yWindow="260" count="2">
    <dataValidation type="custom" allowBlank="1" showInputMessage="1" showErrorMessage="1" prompt="YYYY-MM-DD" sqref="D3 B1 B4" xr:uid="{08A7ED3B-6DA4-40F3-837A-86A6147B6E8E}">
      <formula1>B1</formula1>
    </dataValidation>
    <dataValidation type="textLength" operator="equal" allowBlank="1" showInputMessage="1" showErrorMessage="1" sqref="Q7:Q9" xr:uid="{08FE8B59-FCAF-4065-80BC-A2A00769111C}">
      <formula1>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oExport.doExport">
                <anchor moveWithCells="1" sizeWithCells="1">
                  <from>
                    <xdr:col>4</xdr:col>
                    <xdr:colOff>165100</xdr:colOff>
                    <xdr:row>0</xdr:row>
                    <xdr:rowOff>69850</xdr:rowOff>
                  </from>
                  <to>
                    <xdr:col>5</xdr:col>
                    <xdr:colOff>628650</xdr:colOff>
                    <xdr:row>3</xdr:row>
                    <xdr:rowOff>133350</xdr:rowOff>
                  </to>
                </anchor>
              </controlPr>
            </control>
          </mc:Choice>
        </mc:AlternateContent>
        <mc:AlternateContent xmlns:mc="http://schemas.openxmlformats.org/markup-compatibility/2006">
          <mc:Choice Requires="x14">
            <control shapeId="1033" r:id="rId5" name="Button 9">
              <controlPr defaultSize="0" print="0" autoFill="0" autoPict="0" macro="[0]!addRows.addRows">
                <anchor moveWithCells="1" sizeWithCells="1">
                  <from>
                    <xdr:col>5</xdr:col>
                    <xdr:colOff>692150</xdr:colOff>
                    <xdr:row>0</xdr:row>
                    <xdr:rowOff>44450</xdr:rowOff>
                  </from>
                  <to>
                    <xdr:col>6</xdr:col>
                    <xdr:colOff>1714500</xdr:colOff>
                    <xdr:row>3</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21" yWindow="260" count="3">
        <x14:dataValidation type="list" allowBlank="1" showInputMessage="1" showErrorMessage="1" xr:uid="{F4F7B9CB-4DA0-4DDB-8D50-D9CCCC6F3879}">
          <x14:formula1>
            <xm:f>Dropdowns!$C$2:$C$4</xm:f>
          </x14:formula1>
          <xm:sqref>D2</xm:sqref>
        </x14:dataValidation>
        <x14:dataValidation type="list" allowBlank="1" showInputMessage="1" showErrorMessage="1" xr:uid="{507B061E-80CF-4E3A-A9DA-143E46EF127D}">
          <x14:formula1>
            <xm:f>Dropdowns!$B$2:$B$202</xm:f>
          </x14:formula1>
          <xm:sqref>D1</xm:sqref>
        </x14:dataValidation>
        <x14:dataValidation type="list" allowBlank="1" showInputMessage="1" showErrorMessage="1" xr:uid="{09794AF9-DA4E-42EA-969F-1378F8A83518}">
          <x14:formula1>
            <xm:f>Dropdowns!$A$2:$A$5</xm:f>
          </x14:formula1>
          <xm:sqref>B7:B9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14"/>
  <sheetViews>
    <sheetView workbookViewId="0">
      <pane ySplit="1" topLeftCell="A2" activePane="bottomLeft" state="frozen"/>
      <selection pane="bottomLeft" activeCell="B16" sqref="B16"/>
    </sheetView>
  </sheetViews>
  <sheetFormatPr defaultRowHeight="14.5" x14ac:dyDescent="0.35"/>
  <cols>
    <col min="1" max="1" width="9.1796875" style="6"/>
    <col min="2" max="2" width="40.26953125" style="5" bestFit="1" customWidth="1"/>
    <col min="3" max="3" width="9.1796875" style="5"/>
    <col min="4" max="4" width="32" style="5" bestFit="1" customWidth="1"/>
    <col min="5" max="5" width="32.26953125" style="5" customWidth="1"/>
    <col min="6" max="6" width="129.453125" bestFit="1" customWidth="1"/>
  </cols>
  <sheetData>
    <row r="1" spans="1:6" x14ac:dyDescent="0.35">
      <c r="A1" s="6" t="s">
        <v>30</v>
      </c>
      <c r="B1" s="5" t="s">
        <v>31</v>
      </c>
      <c r="C1" s="5" t="s">
        <v>32</v>
      </c>
      <c r="D1" s="5" t="s">
        <v>33</v>
      </c>
      <c r="E1" s="5" t="s">
        <v>34</v>
      </c>
      <c r="F1" t="s">
        <v>35</v>
      </c>
    </row>
    <row r="2" spans="1:6" ht="116" x14ac:dyDescent="0.35">
      <c r="A2" s="6">
        <v>1</v>
      </c>
      <c r="B2" s="5" t="s">
        <v>36</v>
      </c>
      <c r="C2" s="5" t="s">
        <v>37</v>
      </c>
      <c r="D2" s="5" t="s">
        <v>38</v>
      </c>
      <c r="F2" s="1" t="s">
        <v>39</v>
      </c>
    </row>
    <row r="3" spans="1:6" ht="130.5" x14ac:dyDescent="0.35">
      <c r="A3" s="6">
        <v>2</v>
      </c>
      <c r="B3" s="5" t="s">
        <v>40</v>
      </c>
      <c r="C3" s="5" t="s">
        <v>37</v>
      </c>
      <c r="D3" s="5" t="s">
        <v>289</v>
      </c>
      <c r="F3" s="1" t="s">
        <v>288</v>
      </c>
    </row>
    <row r="4" spans="1:6" x14ac:dyDescent="0.35">
      <c r="A4" s="6">
        <v>20</v>
      </c>
      <c r="B4" t="s">
        <v>41</v>
      </c>
      <c r="C4" s="5" t="s">
        <v>37</v>
      </c>
      <c r="E4" s="5" t="s">
        <v>42</v>
      </c>
    </row>
    <row r="5" spans="1:6" x14ac:dyDescent="0.35">
      <c r="A5" s="6">
        <v>25</v>
      </c>
      <c r="B5" s="5" t="s">
        <v>5</v>
      </c>
      <c r="C5" s="5" t="s">
        <v>37</v>
      </c>
      <c r="E5" s="5" t="s">
        <v>43</v>
      </c>
    </row>
    <row r="6" spans="1:6" x14ac:dyDescent="0.35">
      <c r="A6" s="6" t="s">
        <v>23</v>
      </c>
      <c r="B6" s="5" t="s">
        <v>44</v>
      </c>
      <c r="C6" s="5" t="s">
        <v>37</v>
      </c>
      <c r="E6" s="5" t="s">
        <v>45</v>
      </c>
    </row>
    <row r="7" spans="1:6" x14ac:dyDescent="0.35">
      <c r="A7" s="6" t="s">
        <v>24</v>
      </c>
      <c r="B7" s="5" t="s">
        <v>7</v>
      </c>
      <c r="C7" s="5" t="s">
        <v>37</v>
      </c>
      <c r="E7" s="5" t="s">
        <v>46</v>
      </c>
      <c r="F7" t="s">
        <v>47</v>
      </c>
    </row>
    <row r="8" spans="1:6" ht="130.5" x14ac:dyDescent="0.35">
      <c r="A8" s="6">
        <v>61</v>
      </c>
      <c r="B8" s="5" t="s">
        <v>48</v>
      </c>
      <c r="C8" s="5" t="s">
        <v>28</v>
      </c>
      <c r="E8" s="7" t="s">
        <v>49</v>
      </c>
      <c r="F8" s="1" t="s">
        <v>50</v>
      </c>
    </row>
    <row r="9" spans="1:6" x14ac:dyDescent="0.35">
      <c r="A9" s="6">
        <v>86</v>
      </c>
      <c r="B9" s="5" t="s">
        <v>19</v>
      </c>
      <c r="C9" s="5" t="s">
        <v>37</v>
      </c>
      <c r="E9" s="4" t="s">
        <v>51</v>
      </c>
    </row>
    <row r="10" spans="1:6" x14ac:dyDescent="0.35">
      <c r="A10" s="6" t="s">
        <v>26</v>
      </c>
      <c r="B10" s="5" t="s">
        <v>52</v>
      </c>
      <c r="C10" s="5" t="s">
        <v>37</v>
      </c>
      <c r="E10" s="5" t="s">
        <v>46</v>
      </c>
      <c r="F10" t="s">
        <v>47</v>
      </c>
    </row>
    <row r="14" spans="1:6" x14ac:dyDescent="0.35">
      <c r="B14" s="5" t="s">
        <v>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82DE9-4CC9-4789-B50B-BFC55C35D4B4}">
  <sheetPr codeName="Sheet2"/>
  <dimension ref="A1:C202"/>
  <sheetViews>
    <sheetView workbookViewId="0">
      <selection activeCell="E32" sqref="E32"/>
    </sheetView>
  </sheetViews>
  <sheetFormatPr defaultRowHeight="14.5" x14ac:dyDescent="0.35"/>
  <cols>
    <col min="1" max="1" width="18.54296875" bestFit="1" customWidth="1"/>
    <col min="2" max="2" width="15.26953125" customWidth="1"/>
  </cols>
  <sheetData>
    <row r="1" spans="1:3" x14ac:dyDescent="0.35">
      <c r="A1" s="8" t="s">
        <v>61</v>
      </c>
      <c r="B1" s="8" t="s">
        <v>62</v>
      </c>
      <c r="C1" s="8" t="s">
        <v>63</v>
      </c>
    </row>
    <row r="2" spans="1:3" x14ac:dyDescent="0.35">
      <c r="A2" t="s">
        <v>60</v>
      </c>
      <c r="B2" s="9" t="s">
        <v>64</v>
      </c>
      <c r="C2" t="s">
        <v>65</v>
      </c>
    </row>
    <row r="3" spans="1:3" x14ac:dyDescent="0.35">
      <c r="A3" t="s">
        <v>66</v>
      </c>
      <c r="B3" s="9" t="s">
        <v>67</v>
      </c>
      <c r="C3" t="s">
        <v>68</v>
      </c>
    </row>
    <row r="4" spans="1:3" x14ac:dyDescent="0.35">
      <c r="A4" t="s">
        <v>69</v>
      </c>
      <c r="B4" s="9" t="s">
        <v>70</v>
      </c>
      <c r="C4" t="s">
        <v>71</v>
      </c>
    </row>
    <row r="5" spans="1:3" x14ac:dyDescent="0.35">
      <c r="A5" t="s">
        <v>72</v>
      </c>
      <c r="B5" s="9" t="s">
        <v>73</v>
      </c>
    </row>
    <row r="6" spans="1:3" x14ac:dyDescent="0.35">
      <c r="B6" s="9" t="s">
        <v>74</v>
      </c>
    </row>
    <row r="7" spans="1:3" x14ac:dyDescent="0.35">
      <c r="B7" s="9" t="s">
        <v>75</v>
      </c>
    </row>
    <row r="8" spans="1:3" x14ac:dyDescent="0.35">
      <c r="B8" s="9" t="s">
        <v>76</v>
      </c>
    </row>
    <row r="9" spans="1:3" x14ac:dyDescent="0.35">
      <c r="B9" s="9" t="s">
        <v>77</v>
      </c>
    </row>
    <row r="10" spans="1:3" x14ac:dyDescent="0.35">
      <c r="B10" s="9" t="s">
        <v>78</v>
      </c>
    </row>
    <row r="11" spans="1:3" x14ac:dyDescent="0.35">
      <c r="B11" s="9" t="s">
        <v>79</v>
      </c>
    </row>
    <row r="12" spans="1:3" x14ac:dyDescent="0.35">
      <c r="B12" s="9" t="s">
        <v>80</v>
      </c>
    </row>
    <row r="13" spans="1:3" x14ac:dyDescent="0.35">
      <c r="B13" s="9" t="s">
        <v>81</v>
      </c>
    </row>
    <row r="14" spans="1:3" x14ac:dyDescent="0.35">
      <c r="B14" s="9" t="s">
        <v>82</v>
      </c>
    </row>
    <row r="15" spans="1:3" x14ac:dyDescent="0.35">
      <c r="B15" s="9" t="s">
        <v>83</v>
      </c>
    </row>
    <row r="16" spans="1:3" x14ac:dyDescent="0.35">
      <c r="B16" s="9" t="s">
        <v>84</v>
      </c>
    </row>
    <row r="17" spans="2:2" x14ac:dyDescent="0.35">
      <c r="B17" s="9" t="s">
        <v>85</v>
      </c>
    </row>
    <row r="18" spans="2:2" x14ac:dyDescent="0.35">
      <c r="B18" s="9" t="s">
        <v>86</v>
      </c>
    </row>
    <row r="19" spans="2:2" x14ac:dyDescent="0.35">
      <c r="B19" s="9" t="s">
        <v>87</v>
      </c>
    </row>
    <row r="20" spans="2:2" x14ac:dyDescent="0.35">
      <c r="B20" s="9" t="s">
        <v>88</v>
      </c>
    </row>
    <row r="21" spans="2:2" x14ac:dyDescent="0.35">
      <c r="B21" s="9" t="s">
        <v>89</v>
      </c>
    </row>
    <row r="22" spans="2:2" x14ac:dyDescent="0.35">
      <c r="B22" s="9" t="s">
        <v>90</v>
      </c>
    </row>
    <row r="23" spans="2:2" x14ac:dyDescent="0.35">
      <c r="B23" s="9" t="s">
        <v>91</v>
      </c>
    </row>
    <row r="24" spans="2:2" x14ac:dyDescent="0.35">
      <c r="B24" s="9" t="s">
        <v>92</v>
      </c>
    </row>
    <row r="25" spans="2:2" x14ac:dyDescent="0.35">
      <c r="B25" s="9" t="s">
        <v>93</v>
      </c>
    </row>
    <row r="26" spans="2:2" x14ac:dyDescent="0.35">
      <c r="B26" s="9" t="s">
        <v>94</v>
      </c>
    </row>
    <row r="27" spans="2:2" x14ac:dyDescent="0.35">
      <c r="B27" s="9" t="s">
        <v>95</v>
      </c>
    </row>
    <row r="28" spans="2:2" x14ac:dyDescent="0.35">
      <c r="B28" s="9" t="s">
        <v>96</v>
      </c>
    </row>
    <row r="29" spans="2:2" x14ac:dyDescent="0.35">
      <c r="B29" s="9" t="s">
        <v>97</v>
      </c>
    </row>
    <row r="30" spans="2:2" x14ac:dyDescent="0.35">
      <c r="B30" s="9" t="s">
        <v>98</v>
      </c>
    </row>
    <row r="31" spans="2:2" x14ac:dyDescent="0.35">
      <c r="B31" s="9" t="s">
        <v>99</v>
      </c>
    </row>
    <row r="32" spans="2:2" x14ac:dyDescent="0.35">
      <c r="B32" s="9" t="s">
        <v>100</v>
      </c>
    </row>
    <row r="33" spans="2:2" x14ac:dyDescent="0.35">
      <c r="B33" s="9" t="s">
        <v>101</v>
      </c>
    </row>
    <row r="34" spans="2:2" x14ac:dyDescent="0.35">
      <c r="B34" s="9" t="s">
        <v>102</v>
      </c>
    </row>
    <row r="35" spans="2:2" x14ac:dyDescent="0.35">
      <c r="B35" s="9" t="s">
        <v>103</v>
      </c>
    </row>
    <row r="36" spans="2:2" x14ac:dyDescent="0.35">
      <c r="B36" s="9" t="s">
        <v>104</v>
      </c>
    </row>
    <row r="37" spans="2:2" x14ac:dyDescent="0.35">
      <c r="B37" s="9" t="s">
        <v>105</v>
      </c>
    </row>
    <row r="38" spans="2:2" x14ac:dyDescent="0.35">
      <c r="B38" s="9" t="s">
        <v>106</v>
      </c>
    </row>
    <row r="39" spans="2:2" x14ac:dyDescent="0.35">
      <c r="B39" s="9" t="s">
        <v>107</v>
      </c>
    </row>
    <row r="40" spans="2:2" x14ac:dyDescent="0.35">
      <c r="B40" s="9" t="s">
        <v>108</v>
      </c>
    </row>
    <row r="41" spans="2:2" x14ac:dyDescent="0.35">
      <c r="B41" s="9" t="s">
        <v>109</v>
      </c>
    </row>
    <row r="42" spans="2:2" x14ac:dyDescent="0.35">
      <c r="B42" s="9" t="s">
        <v>110</v>
      </c>
    </row>
    <row r="43" spans="2:2" x14ac:dyDescent="0.35">
      <c r="B43" s="9" t="s">
        <v>111</v>
      </c>
    </row>
    <row r="44" spans="2:2" x14ac:dyDescent="0.35">
      <c r="B44" s="9" t="s">
        <v>112</v>
      </c>
    </row>
    <row r="45" spans="2:2" x14ac:dyDescent="0.35">
      <c r="B45" s="9" t="s">
        <v>113</v>
      </c>
    </row>
    <row r="46" spans="2:2" x14ac:dyDescent="0.35">
      <c r="B46" s="9" t="s">
        <v>114</v>
      </c>
    </row>
    <row r="47" spans="2:2" x14ac:dyDescent="0.35">
      <c r="B47" s="9" t="s">
        <v>115</v>
      </c>
    </row>
    <row r="48" spans="2:2" x14ac:dyDescent="0.35">
      <c r="B48" s="9" t="s">
        <v>116</v>
      </c>
    </row>
    <row r="49" spans="2:2" x14ac:dyDescent="0.35">
      <c r="B49" s="9" t="s">
        <v>117</v>
      </c>
    </row>
    <row r="50" spans="2:2" x14ac:dyDescent="0.35">
      <c r="B50" s="9" t="s">
        <v>118</v>
      </c>
    </row>
    <row r="51" spans="2:2" x14ac:dyDescent="0.35">
      <c r="B51" s="9" t="s">
        <v>119</v>
      </c>
    </row>
    <row r="52" spans="2:2" x14ac:dyDescent="0.35">
      <c r="B52" s="9" t="s">
        <v>120</v>
      </c>
    </row>
    <row r="53" spans="2:2" x14ac:dyDescent="0.35">
      <c r="B53" s="9" t="s">
        <v>121</v>
      </c>
    </row>
    <row r="54" spans="2:2" x14ac:dyDescent="0.35">
      <c r="B54" s="9" t="s">
        <v>122</v>
      </c>
    </row>
    <row r="55" spans="2:2" x14ac:dyDescent="0.35">
      <c r="B55" s="9" t="s">
        <v>123</v>
      </c>
    </row>
    <row r="56" spans="2:2" x14ac:dyDescent="0.35">
      <c r="B56" s="9" t="s">
        <v>124</v>
      </c>
    </row>
    <row r="57" spans="2:2" x14ac:dyDescent="0.35">
      <c r="B57" s="9" t="s">
        <v>125</v>
      </c>
    </row>
    <row r="58" spans="2:2" x14ac:dyDescent="0.35">
      <c r="B58" s="9" t="s">
        <v>126</v>
      </c>
    </row>
    <row r="59" spans="2:2" x14ac:dyDescent="0.35">
      <c r="B59" s="9" t="s">
        <v>127</v>
      </c>
    </row>
    <row r="60" spans="2:2" x14ac:dyDescent="0.35">
      <c r="B60" s="9" t="s">
        <v>128</v>
      </c>
    </row>
    <row r="61" spans="2:2" x14ac:dyDescent="0.35">
      <c r="B61" s="9" t="s">
        <v>129</v>
      </c>
    </row>
    <row r="62" spans="2:2" x14ac:dyDescent="0.35">
      <c r="B62" s="9" t="s">
        <v>130</v>
      </c>
    </row>
    <row r="63" spans="2:2" x14ac:dyDescent="0.35">
      <c r="B63" s="9" t="s">
        <v>131</v>
      </c>
    </row>
    <row r="64" spans="2:2" x14ac:dyDescent="0.35">
      <c r="B64" s="9" t="s">
        <v>132</v>
      </c>
    </row>
    <row r="65" spans="2:2" x14ac:dyDescent="0.35">
      <c r="B65" s="9" t="s">
        <v>133</v>
      </c>
    </row>
    <row r="66" spans="2:2" x14ac:dyDescent="0.35">
      <c r="B66" s="9" t="s">
        <v>134</v>
      </c>
    </row>
    <row r="67" spans="2:2" x14ac:dyDescent="0.35">
      <c r="B67" s="9" t="s">
        <v>135</v>
      </c>
    </row>
    <row r="68" spans="2:2" x14ac:dyDescent="0.35">
      <c r="B68" s="9" t="s">
        <v>136</v>
      </c>
    </row>
    <row r="69" spans="2:2" x14ac:dyDescent="0.35">
      <c r="B69" s="9" t="s">
        <v>137</v>
      </c>
    </row>
    <row r="70" spans="2:2" x14ac:dyDescent="0.35">
      <c r="B70" s="9" t="s">
        <v>138</v>
      </c>
    </row>
    <row r="71" spans="2:2" x14ac:dyDescent="0.35">
      <c r="B71" s="9" t="s">
        <v>139</v>
      </c>
    </row>
    <row r="72" spans="2:2" x14ac:dyDescent="0.35">
      <c r="B72" s="9" t="s">
        <v>140</v>
      </c>
    </row>
    <row r="73" spans="2:2" x14ac:dyDescent="0.35">
      <c r="B73" s="9" t="s">
        <v>141</v>
      </c>
    </row>
    <row r="74" spans="2:2" x14ac:dyDescent="0.35">
      <c r="B74" s="9" t="s">
        <v>142</v>
      </c>
    </row>
    <row r="75" spans="2:2" x14ac:dyDescent="0.35">
      <c r="B75" s="9" t="s">
        <v>143</v>
      </c>
    </row>
    <row r="76" spans="2:2" x14ac:dyDescent="0.35">
      <c r="B76" s="9" t="s">
        <v>144</v>
      </c>
    </row>
    <row r="77" spans="2:2" x14ac:dyDescent="0.35">
      <c r="B77" s="9" t="s">
        <v>145</v>
      </c>
    </row>
    <row r="78" spans="2:2" x14ac:dyDescent="0.35">
      <c r="B78" s="9" t="s">
        <v>146</v>
      </c>
    </row>
    <row r="79" spans="2:2" x14ac:dyDescent="0.35">
      <c r="B79" s="9" t="s">
        <v>29</v>
      </c>
    </row>
    <row r="80" spans="2:2" x14ac:dyDescent="0.35">
      <c r="B80" s="9" t="s">
        <v>147</v>
      </c>
    </row>
    <row r="81" spans="2:2" x14ac:dyDescent="0.35">
      <c r="B81" s="9" t="s">
        <v>148</v>
      </c>
    </row>
    <row r="82" spans="2:2" x14ac:dyDescent="0.35">
      <c r="B82" s="9" t="s">
        <v>149</v>
      </c>
    </row>
    <row r="83" spans="2:2" x14ac:dyDescent="0.35">
      <c r="B83" s="9" t="s">
        <v>150</v>
      </c>
    </row>
    <row r="84" spans="2:2" x14ac:dyDescent="0.35">
      <c r="B84" s="9" t="s">
        <v>151</v>
      </c>
    </row>
    <row r="85" spans="2:2" x14ac:dyDescent="0.35">
      <c r="B85" s="9" t="s">
        <v>152</v>
      </c>
    </row>
    <row r="86" spans="2:2" x14ac:dyDescent="0.35">
      <c r="B86" s="9" t="s">
        <v>153</v>
      </c>
    </row>
    <row r="87" spans="2:2" x14ac:dyDescent="0.35">
      <c r="B87" s="9" t="s">
        <v>154</v>
      </c>
    </row>
    <row r="88" spans="2:2" x14ac:dyDescent="0.35">
      <c r="B88" s="9" t="s">
        <v>155</v>
      </c>
    </row>
    <row r="89" spans="2:2" x14ac:dyDescent="0.35">
      <c r="B89" s="9" t="s">
        <v>156</v>
      </c>
    </row>
    <row r="90" spans="2:2" x14ac:dyDescent="0.35">
      <c r="B90" s="9" t="s">
        <v>157</v>
      </c>
    </row>
    <row r="91" spans="2:2" x14ac:dyDescent="0.35">
      <c r="B91" s="9" t="s">
        <v>158</v>
      </c>
    </row>
    <row r="92" spans="2:2" x14ac:dyDescent="0.35">
      <c r="B92" s="9" t="s">
        <v>159</v>
      </c>
    </row>
    <row r="93" spans="2:2" x14ac:dyDescent="0.35">
      <c r="B93" s="9" t="s">
        <v>160</v>
      </c>
    </row>
    <row r="94" spans="2:2" x14ac:dyDescent="0.35">
      <c r="B94" s="9" t="s">
        <v>161</v>
      </c>
    </row>
    <row r="95" spans="2:2" x14ac:dyDescent="0.35">
      <c r="B95" s="9" t="s">
        <v>162</v>
      </c>
    </row>
    <row r="96" spans="2:2" x14ac:dyDescent="0.35">
      <c r="B96" s="9" t="s">
        <v>163</v>
      </c>
    </row>
    <row r="97" spans="2:2" x14ac:dyDescent="0.35">
      <c r="B97" s="9" t="s">
        <v>164</v>
      </c>
    </row>
    <row r="98" spans="2:2" x14ac:dyDescent="0.35">
      <c r="B98" s="9" t="s">
        <v>165</v>
      </c>
    </row>
    <row r="99" spans="2:2" x14ac:dyDescent="0.35">
      <c r="B99" s="9" t="s">
        <v>166</v>
      </c>
    </row>
    <row r="100" spans="2:2" x14ac:dyDescent="0.35">
      <c r="B100" s="9" t="s">
        <v>167</v>
      </c>
    </row>
    <row r="101" spans="2:2" x14ac:dyDescent="0.35">
      <c r="B101" s="9" t="s">
        <v>168</v>
      </c>
    </row>
    <row r="102" spans="2:2" x14ac:dyDescent="0.35">
      <c r="B102" s="9" t="s">
        <v>169</v>
      </c>
    </row>
    <row r="103" spans="2:2" x14ac:dyDescent="0.35">
      <c r="B103" s="9" t="s">
        <v>170</v>
      </c>
    </row>
    <row r="104" spans="2:2" x14ac:dyDescent="0.35">
      <c r="B104" s="9" t="s">
        <v>171</v>
      </c>
    </row>
    <row r="105" spans="2:2" x14ac:dyDescent="0.35">
      <c r="B105" s="9" t="s">
        <v>172</v>
      </c>
    </row>
    <row r="106" spans="2:2" x14ac:dyDescent="0.35">
      <c r="B106" s="9" t="s">
        <v>173</v>
      </c>
    </row>
    <row r="107" spans="2:2" x14ac:dyDescent="0.35">
      <c r="B107" s="9" t="s">
        <v>174</v>
      </c>
    </row>
    <row r="108" spans="2:2" x14ac:dyDescent="0.35">
      <c r="B108" s="9" t="s">
        <v>175</v>
      </c>
    </row>
    <row r="109" spans="2:2" x14ac:dyDescent="0.35">
      <c r="B109" s="9" t="s">
        <v>176</v>
      </c>
    </row>
    <row r="110" spans="2:2" x14ac:dyDescent="0.35">
      <c r="B110" s="9" t="s">
        <v>177</v>
      </c>
    </row>
    <row r="111" spans="2:2" x14ac:dyDescent="0.35">
      <c r="B111" s="9" t="s">
        <v>178</v>
      </c>
    </row>
    <row r="112" spans="2:2" x14ac:dyDescent="0.35">
      <c r="B112" s="9" t="s">
        <v>179</v>
      </c>
    </row>
    <row r="113" spans="2:2" x14ac:dyDescent="0.35">
      <c r="B113" s="9" t="s">
        <v>180</v>
      </c>
    </row>
    <row r="114" spans="2:2" x14ac:dyDescent="0.35">
      <c r="B114" s="9" t="s">
        <v>181</v>
      </c>
    </row>
    <row r="115" spans="2:2" x14ac:dyDescent="0.35">
      <c r="B115" s="9" t="s">
        <v>182</v>
      </c>
    </row>
    <row r="116" spans="2:2" x14ac:dyDescent="0.35">
      <c r="B116" s="9" t="s">
        <v>183</v>
      </c>
    </row>
    <row r="117" spans="2:2" x14ac:dyDescent="0.35">
      <c r="B117" s="9" t="s">
        <v>184</v>
      </c>
    </row>
    <row r="118" spans="2:2" x14ac:dyDescent="0.35">
      <c r="B118" s="9" t="s">
        <v>185</v>
      </c>
    </row>
    <row r="119" spans="2:2" x14ac:dyDescent="0.35">
      <c r="B119" s="9" t="s">
        <v>186</v>
      </c>
    </row>
    <row r="120" spans="2:2" x14ac:dyDescent="0.35">
      <c r="B120" s="9" t="s">
        <v>187</v>
      </c>
    </row>
    <row r="121" spans="2:2" x14ac:dyDescent="0.35">
      <c r="B121" s="9" t="s">
        <v>188</v>
      </c>
    </row>
    <row r="122" spans="2:2" x14ac:dyDescent="0.35">
      <c r="B122" s="9" t="s">
        <v>189</v>
      </c>
    </row>
    <row r="123" spans="2:2" x14ac:dyDescent="0.35">
      <c r="B123" s="9" t="s">
        <v>190</v>
      </c>
    </row>
    <row r="124" spans="2:2" x14ac:dyDescent="0.35">
      <c r="B124" s="9" t="s">
        <v>191</v>
      </c>
    </row>
    <row r="125" spans="2:2" x14ac:dyDescent="0.35">
      <c r="B125" s="9" t="s">
        <v>192</v>
      </c>
    </row>
    <row r="126" spans="2:2" x14ac:dyDescent="0.35">
      <c r="B126" s="9" t="s">
        <v>193</v>
      </c>
    </row>
    <row r="127" spans="2:2" x14ac:dyDescent="0.35">
      <c r="B127" s="9" t="s">
        <v>194</v>
      </c>
    </row>
    <row r="128" spans="2:2" x14ac:dyDescent="0.35">
      <c r="B128" s="9" t="s">
        <v>195</v>
      </c>
    </row>
    <row r="129" spans="2:2" x14ac:dyDescent="0.35">
      <c r="B129" s="9" t="s">
        <v>196</v>
      </c>
    </row>
    <row r="130" spans="2:2" x14ac:dyDescent="0.35">
      <c r="B130" s="9" t="s">
        <v>197</v>
      </c>
    </row>
    <row r="131" spans="2:2" x14ac:dyDescent="0.35">
      <c r="B131" s="9" t="s">
        <v>198</v>
      </c>
    </row>
    <row r="132" spans="2:2" x14ac:dyDescent="0.35">
      <c r="B132" s="9" t="s">
        <v>199</v>
      </c>
    </row>
    <row r="133" spans="2:2" x14ac:dyDescent="0.35">
      <c r="B133" s="9" t="s">
        <v>200</v>
      </c>
    </row>
    <row r="134" spans="2:2" x14ac:dyDescent="0.35">
      <c r="B134" s="9" t="s">
        <v>201</v>
      </c>
    </row>
    <row r="135" spans="2:2" x14ac:dyDescent="0.35">
      <c r="B135" s="9" t="s">
        <v>202</v>
      </c>
    </row>
    <row r="136" spans="2:2" x14ac:dyDescent="0.35">
      <c r="B136" s="9" t="s">
        <v>203</v>
      </c>
    </row>
    <row r="137" spans="2:2" x14ac:dyDescent="0.35">
      <c r="B137" s="9" t="s">
        <v>204</v>
      </c>
    </row>
    <row r="138" spans="2:2" x14ac:dyDescent="0.35">
      <c r="B138" s="9" t="s">
        <v>205</v>
      </c>
    </row>
    <row r="139" spans="2:2" x14ac:dyDescent="0.35">
      <c r="B139" s="9" t="s">
        <v>206</v>
      </c>
    </row>
    <row r="140" spans="2:2" x14ac:dyDescent="0.35">
      <c r="B140" s="9" t="s">
        <v>207</v>
      </c>
    </row>
    <row r="141" spans="2:2" x14ac:dyDescent="0.35">
      <c r="B141" s="9" t="s">
        <v>208</v>
      </c>
    </row>
    <row r="142" spans="2:2" x14ac:dyDescent="0.35">
      <c r="B142" s="9" t="s">
        <v>209</v>
      </c>
    </row>
    <row r="143" spans="2:2" x14ac:dyDescent="0.35">
      <c r="B143" s="9" t="s">
        <v>210</v>
      </c>
    </row>
    <row r="144" spans="2:2" x14ac:dyDescent="0.35">
      <c r="B144" s="9" t="s">
        <v>211</v>
      </c>
    </row>
    <row r="145" spans="2:2" x14ac:dyDescent="0.35">
      <c r="B145" s="9" t="s">
        <v>212</v>
      </c>
    </row>
    <row r="146" spans="2:2" x14ac:dyDescent="0.35">
      <c r="B146" s="9" t="s">
        <v>213</v>
      </c>
    </row>
    <row r="147" spans="2:2" x14ac:dyDescent="0.35">
      <c r="B147" s="9" t="s">
        <v>214</v>
      </c>
    </row>
    <row r="148" spans="2:2" x14ac:dyDescent="0.35">
      <c r="B148" s="9" t="s">
        <v>215</v>
      </c>
    </row>
    <row r="149" spans="2:2" x14ac:dyDescent="0.35">
      <c r="B149" s="9" t="s">
        <v>216</v>
      </c>
    </row>
    <row r="150" spans="2:2" x14ac:dyDescent="0.35">
      <c r="B150" s="9" t="s">
        <v>217</v>
      </c>
    </row>
    <row r="151" spans="2:2" x14ac:dyDescent="0.35">
      <c r="B151" s="9" t="s">
        <v>218</v>
      </c>
    </row>
    <row r="152" spans="2:2" x14ac:dyDescent="0.35">
      <c r="B152" s="9" t="s">
        <v>219</v>
      </c>
    </row>
    <row r="153" spans="2:2" x14ac:dyDescent="0.35">
      <c r="B153" s="9" t="s">
        <v>220</v>
      </c>
    </row>
    <row r="154" spans="2:2" x14ac:dyDescent="0.35">
      <c r="B154" s="9" t="s">
        <v>221</v>
      </c>
    </row>
    <row r="155" spans="2:2" x14ac:dyDescent="0.35">
      <c r="B155" s="9" t="s">
        <v>222</v>
      </c>
    </row>
    <row r="156" spans="2:2" x14ac:dyDescent="0.35">
      <c r="B156" s="9" t="s">
        <v>223</v>
      </c>
    </row>
    <row r="157" spans="2:2" x14ac:dyDescent="0.35">
      <c r="B157" s="9" t="s">
        <v>224</v>
      </c>
    </row>
    <row r="158" spans="2:2" x14ac:dyDescent="0.35">
      <c r="B158" s="9" t="s">
        <v>225</v>
      </c>
    </row>
    <row r="159" spans="2:2" x14ac:dyDescent="0.35">
      <c r="B159" s="9" t="s">
        <v>226</v>
      </c>
    </row>
    <row r="160" spans="2:2" x14ac:dyDescent="0.35">
      <c r="B160" s="9" t="s">
        <v>227</v>
      </c>
    </row>
    <row r="161" spans="2:2" x14ac:dyDescent="0.35">
      <c r="B161" s="9" t="s">
        <v>228</v>
      </c>
    </row>
    <row r="162" spans="2:2" x14ac:dyDescent="0.35">
      <c r="B162" s="9" t="s">
        <v>229</v>
      </c>
    </row>
    <row r="163" spans="2:2" x14ac:dyDescent="0.35">
      <c r="B163" s="9" t="s">
        <v>230</v>
      </c>
    </row>
    <row r="164" spans="2:2" x14ac:dyDescent="0.35">
      <c r="B164" s="9" t="s">
        <v>231</v>
      </c>
    </row>
    <row r="165" spans="2:2" x14ac:dyDescent="0.35">
      <c r="B165" s="9" t="s">
        <v>232</v>
      </c>
    </row>
    <row r="166" spans="2:2" x14ac:dyDescent="0.35">
      <c r="B166" s="9" t="s">
        <v>233</v>
      </c>
    </row>
    <row r="167" spans="2:2" x14ac:dyDescent="0.35">
      <c r="B167" s="9" t="s">
        <v>234</v>
      </c>
    </row>
    <row r="168" spans="2:2" x14ac:dyDescent="0.35">
      <c r="B168" s="9" t="s">
        <v>235</v>
      </c>
    </row>
    <row r="169" spans="2:2" x14ac:dyDescent="0.35">
      <c r="B169" s="9" t="s">
        <v>236</v>
      </c>
    </row>
    <row r="170" spans="2:2" x14ac:dyDescent="0.35">
      <c r="B170" s="9" t="s">
        <v>237</v>
      </c>
    </row>
    <row r="171" spans="2:2" x14ac:dyDescent="0.35">
      <c r="B171" s="9" t="s">
        <v>238</v>
      </c>
    </row>
    <row r="172" spans="2:2" x14ac:dyDescent="0.35">
      <c r="B172" s="9" t="s">
        <v>239</v>
      </c>
    </row>
    <row r="173" spans="2:2" x14ac:dyDescent="0.35">
      <c r="B173" s="9" t="s">
        <v>240</v>
      </c>
    </row>
    <row r="174" spans="2:2" x14ac:dyDescent="0.35">
      <c r="B174" s="9" t="s">
        <v>241</v>
      </c>
    </row>
    <row r="175" spans="2:2" x14ac:dyDescent="0.35">
      <c r="B175" s="9" t="s">
        <v>242</v>
      </c>
    </row>
    <row r="176" spans="2:2" x14ac:dyDescent="0.35">
      <c r="B176" s="9" t="s">
        <v>243</v>
      </c>
    </row>
    <row r="177" spans="2:2" x14ac:dyDescent="0.35">
      <c r="B177" s="9" t="s">
        <v>244</v>
      </c>
    </row>
    <row r="178" spans="2:2" x14ac:dyDescent="0.35">
      <c r="B178" s="9" t="s">
        <v>245</v>
      </c>
    </row>
    <row r="179" spans="2:2" x14ac:dyDescent="0.35">
      <c r="B179" s="9" t="s">
        <v>246</v>
      </c>
    </row>
    <row r="180" spans="2:2" x14ac:dyDescent="0.35">
      <c r="B180" s="9" t="s">
        <v>247</v>
      </c>
    </row>
    <row r="181" spans="2:2" x14ac:dyDescent="0.35">
      <c r="B181" s="9" t="s">
        <v>248</v>
      </c>
    </row>
    <row r="182" spans="2:2" x14ac:dyDescent="0.35">
      <c r="B182" s="9" t="s">
        <v>249</v>
      </c>
    </row>
    <row r="183" spans="2:2" x14ac:dyDescent="0.35">
      <c r="B183" s="9" t="s">
        <v>250</v>
      </c>
    </row>
    <row r="184" spans="2:2" x14ac:dyDescent="0.35">
      <c r="B184" s="9" t="s">
        <v>251</v>
      </c>
    </row>
    <row r="185" spans="2:2" x14ac:dyDescent="0.35">
      <c r="B185" s="9" t="s">
        <v>252</v>
      </c>
    </row>
    <row r="186" spans="2:2" x14ac:dyDescent="0.35">
      <c r="B186" s="9" t="s">
        <v>253</v>
      </c>
    </row>
    <row r="187" spans="2:2" x14ac:dyDescent="0.35">
      <c r="B187" s="9" t="s">
        <v>254</v>
      </c>
    </row>
    <row r="188" spans="2:2" x14ac:dyDescent="0.35">
      <c r="B188" s="9" t="s">
        <v>255</v>
      </c>
    </row>
    <row r="189" spans="2:2" x14ac:dyDescent="0.35">
      <c r="B189" s="9" t="s">
        <v>256</v>
      </c>
    </row>
    <row r="190" spans="2:2" x14ac:dyDescent="0.35">
      <c r="B190" s="9" t="s">
        <v>257</v>
      </c>
    </row>
    <row r="191" spans="2:2" x14ac:dyDescent="0.35">
      <c r="B191" s="9" t="s">
        <v>258</v>
      </c>
    </row>
    <row r="192" spans="2:2" x14ac:dyDescent="0.35">
      <c r="B192" s="9" t="s">
        <v>259</v>
      </c>
    </row>
    <row r="193" spans="2:2" x14ac:dyDescent="0.35">
      <c r="B193" s="9" t="s">
        <v>260</v>
      </c>
    </row>
    <row r="194" spans="2:2" x14ac:dyDescent="0.35">
      <c r="B194" s="9" t="s">
        <v>261</v>
      </c>
    </row>
    <row r="195" spans="2:2" x14ac:dyDescent="0.35">
      <c r="B195" s="9" t="s">
        <v>262</v>
      </c>
    </row>
    <row r="196" spans="2:2" x14ac:dyDescent="0.35">
      <c r="B196" s="9" t="s">
        <v>263</v>
      </c>
    </row>
    <row r="197" spans="2:2" x14ac:dyDescent="0.35">
      <c r="B197" s="9" t="s">
        <v>264</v>
      </c>
    </row>
    <row r="198" spans="2:2" x14ac:dyDescent="0.35">
      <c r="B198" s="9" t="s">
        <v>265</v>
      </c>
    </row>
    <row r="199" spans="2:2" x14ac:dyDescent="0.35">
      <c r="B199" s="9" t="s">
        <v>266</v>
      </c>
    </row>
    <row r="200" spans="2:2" x14ac:dyDescent="0.35">
      <c r="B200" s="9" t="s">
        <v>267</v>
      </c>
    </row>
    <row r="201" spans="2:2" x14ac:dyDescent="0.35">
      <c r="B201" s="9" t="s">
        <v>268</v>
      </c>
    </row>
    <row r="202" spans="2:2" x14ac:dyDescent="0.35">
      <c r="B202" s="9"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Notes</vt:lpstr>
      <vt:lpstr>Generator</vt:lpstr>
      <vt:lpstr>Tags</vt:lpstr>
      <vt:lpstr>Dropdowns</vt:lpstr>
    </vt:vector>
  </TitlesOfParts>
  <Manager/>
  <Company>Sirius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Kamel Naas</dc:creator>
  <cp:keywords/>
  <dc:description/>
  <cp:lastModifiedBy>Alex Visbal</cp:lastModifiedBy>
  <cp:revision/>
  <dcterms:created xsi:type="dcterms:W3CDTF">2016-08-23T08:49:34Z</dcterms:created>
  <dcterms:modified xsi:type="dcterms:W3CDTF">2023-11-17T19:25:25Z</dcterms:modified>
  <cp:category/>
  <cp:contentStatus/>
</cp:coreProperties>
</file>